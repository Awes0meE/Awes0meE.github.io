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BOM_A High-Performance  AD831-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<sst xmlns="http://schemas.openxmlformats.org/spreadsheetml/2006/main" count="171" uniqueCount="121">
  <si>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</si>
  <si>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</si>
  <si>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</si>
  <si>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</si>
  <si>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</si>
  <si>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</si>
  <si>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</si>
  <si>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</si>
  <si>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</si>
  <si>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</si>
  <si>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</si>
  <si>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Sum price</t>
  </si>
  <si>
    <t>1</t>
  </si>
  <si>
    <t>100nF</t>
  </si>
  <si>
    <t>C1,C4,C7,C8,C9,C10,C13,C15</t>
  </si>
  <si>
    <t>C0603</t>
  </si>
  <si>
    <t>CC0603KRX7R9BB104</t>
  </si>
  <si>
    <t>YAGEO(国巨)</t>
  </si>
  <si>
    <t>C14663</t>
  </si>
  <si>
    <t>LCSC</t>
  </si>
  <si>
    <t>0.0155</t>
  </si>
  <si>
    <t>2</t>
  </si>
  <si>
    <t>470pF</t>
  </si>
  <si>
    <t>C2,C3</t>
  </si>
  <si>
    <t>CC0603JRNPO9BN471</t>
  </si>
  <si>
    <t>C106211</t>
  </si>
  <si>
    <t>0.0244</t>
  </si>
  <si>
    <t>3</t>
  </si>
  <si>
    <t>220pF</t>
  </si>
  <si>
    <t>C5,C17</t>
  </si>
  <si>
    <t>CC0603JRNPO9BN221</t>
  </si>
  <si>
    <t>C106210</t>
  </si>
  <si>
    <t>0.0259</t>
  </si>
  <si>
    <t>4</t>
  </si>
  <si>
    <t>82pF</t>
  </si>
  <si>
    <t>C6</t>
  </si>
  <si>
    <t>0603CG820J500NT</t>
  </si>
  <si>
    <t>FH(风华)</t>
  </si>
  <si>
    <t>C1683</t>
  </si>
  <si>
    <t>0.0197</t>
  </si>
  <si>
    <t>5</t>
  </si>
  <si>
    <t>10uF</t>
  </si>
  <si>
    <t>C12,C14</t>
  </si>
  <si>
    <t>GRM188R61E106KA73D</t>
  </si>
  <si>
    <t>muRata(村田)</t>
  </si>
  <si>
    <t>C344022</t>
  </si>
  <si>
    <t>0.1887</t>
  </si>
  <si>
    <t>6</t>
  </si>
  <si>
    <t>1N5819W</t>
  </si>
  <si>
    <t>D1,D2</t>
  </si>
  <si>
    <t>SOD-123_L2.7-W1.6-LS3.7-RD</t>
  </si>
  <si>
    <t/>
  </si>
  <si>
    <t>JSMSEMI(杰盛微)</t>
  </si>
  <si>
    <t>C963381</t>
  </si>
  <si>
    <t>0.0478</t>
  </si>
  <si>
    <t>7</t>
  </si>
  <si>
    <t>NCD0603R1</t>
  </si>
  <si>
    <t>LED1</t>
  </si>
  <si>
    <t>LED0603-RD_RED</t>
  </si>
  <si>
    <t>国星光电</t>
  </si>
  <si>
    <t>C84263</t>
  </si>
  <si>
    <t>0.0606</t>
  </si>
  <si>
    <t>8</t>
  </si>
  <si>
    <t>XL-1608UBC-04</t>
  </si>
  <si>
    <t>LED2</t>
  </si>
  <si>
    <t>LED0603-RD_BLUE</t>
  </si>
  <si>
    <t>XINGLIGHT(成兴光)</t>
  </si>
  <si>
    <t>C965807</t>
  </si>
  <si>
    <t>0.0227</t>
  </si>
  <si>
    <t>9</t>
  </si>
  <si>
    <t>WJ500V-5.08-3P</t>
  </si>
  <si>
    <t>P1</t>
  </si>
  <si>
    <t>CONN-TH_3P-P5.00_WJ500V-5.08-3P</t>
  </si>
  <si>
    <t>KANGNEX(康奈克斯电气)</t>
  </si>
  <si>
    <t>C72334</t>
  </si>
  <si>
    <t>1.3033</t>
  </si>
  <si>
    <t>10</t>
  </si>
  <si>
    <t>51Ω</t>
  </si>
  <si>
    <t>R1,R4,R5</t>
  </si>
  <si>
    <t>R0603</t>
  </si>
  <si>
    <t>0603WAF510JT5E</t>
  </si>
  <si>
    <t>UNI-ROYAL(厚声)</t>
  </si>
  <si>
    <t>C23197</t>
  </si>
  <si>
    <t>0.0071</t>
  </si>
  <si>
    <t>11</t>
  </si>
  <si>
    <t>110Ω</t>
  </si>
  <si>
    <t>R2</t>
  </si>
  <si>
    <t>PTFR0603B110RN9</t>
  </si>
  <si>
    <t>RESI(开步睿思)</t>
  </si>
  <si>
    <t>C2692732</t>
  </si>
  <si>
    <t>0.7417</t>
  </si>
  <si>
    <t>12</t>
  </si>
  <si>
    <t>50Ω</t>
  </si>
  <si>
    <t>R3</t>
  </si>
  <si>
    <t>RT0603BRE0750RL</t>
  </si>
  <si>
    <t>C849792</t>
  </si>
  <si>
    <t>0.1585</t>
  </si>
  <si>
    <t>13</t>
  </si>
  <si>
    <t>10kΩ</t>
  </si>
  <si>
    <t>R6,R7</t>
  </si>
  <si>
    <t>RC0603JR-0710KL</t>
  </si>
  <si>
    <t>C99198</t>
  </si>
  <si>
    <t>0.0067</t>
  </si>
  <si>
    <t>14</t>
  </si>
  <si>
    <t>M3铜柱</t>
  </si>
  <si>
    <t>TP1,TP2,TP3,TP4</t>
  </si>
  <si>
    <t>15</t>
  </si>
  <si>
    <t>AD831APZ</t>
  </si>
  <si>
    <t>U1</t>
  </si>
  <si>
    <t>PLCC-20_L9.0-W9.0-P1.27-LS10.0-T</t>
  </si>
  <si>
    <t>ADI(亚德诺)</t>
  </si>
  <si>
    <t>C652692</t>
  </si>
  <si>
    <t>Taobao</t>
  </si>
  <si>
    <t>16</t>
  </si>
  <si>
    <t>-</t>
  </si>
  <si>
    <t>VIN1,VIN2,VOUT1</t>
  </si>
  <si>
    <t>CONN-SMD_KH-SMA-KE8-G</t>
  </si>
  <si>
    <t>KH-SMA-KE8-G</t>
  </si>
  <si>
    <t>kinghelm(金航标)</t>
  </si>
  <si>
    <t>C530661</t>
  </si>
  <si>
    <t>2.81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</si>
</sst>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workbookViewId="0">
      <selection activeCell="C5" sqref="C5"/>
    </sheetView>
  </sheetViews>
  <sheetFormatPr defaultColWidth="9" defaultRowHeight="13.5"/>
  <cols>
    <col min="1" max="1" width="7.625" customWidth="1"/>
    <col min="2" max="2" width="10.625" customWidth="1"/>
    <col min="3" max="3" width="20" customWidth="1"/>
    <col min="4" max="4" width="29" customWidth="1"/>
    <col min="5" max="5" width="35.625" customWidth="1"/>
    <col min="6" max="6" width="8.875" customWidth="1"/>
    <col min="7" max="7" width="20.75" customWidth="1"/>
    <col min="8" max="8" width="20" customWidth="1"/>
    <col min="9" max="9" width="16.25" customWidth="1"/>
    <col min="10" max="10" width="13" customWidth="1"/>
    <col min="11" max="11" width="14" customWidth="1"/>
    <col min="12" max="12" width="12.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2">
        <v>8</v>
      </c>
      <c r="C2" s="1" t="s">
        <v>13</v>
      </c>
      <c r="D2" s="1" t="s">
        <v>14</v>
      </c>
      <c r="E2" s="1" t="s">
        <v>15</v>
      </c>
      <c r="F2" s="1" t="s">
        <v>13</v>
      </c>
      <c r="G2" s="1" t="s">
        <v>16</v>
      </c>
      <c r="H2" s="1" t="s">
        <v>17</v>
      </c>
      <c r="I2" s="1" t="s">
        <v>18</v>
      </c>
      <c r="J2" s="1" t="s">
        <v>19</v>
      </c>
      <c r="K2" s="2" t="s">
        <v>20</v>
      </c>
      <c r="L2" s="2">
        <f>B2*K2</f>
        <v>0.124</v>
      </c>
    </row>
    <row r="3" spans="1:12">
      <c r="A3" s="1" t="s">
        <v>21</v>
      </c>
      <c r="B3" s="2">
        <v>2</v>
      </c>
      <c r="C3" s="1" t="s">
        <v>22</v>
      </c>
      <c r="D3" s="1" t="s">
        <v>23</v>
      </c>
      <c r="E3" s="1" t="s">
        <v>15</v>
      </c>
      <c r="F3" s="1" t="s">
        <v>22</v>
      </c>
      <c r="G3" s="1" t="s">
        <v>24</v>
      </c>
      <c r="H3" s="1" t="s">
        <v>17</v>
      </c>
      <c r="I3" s="1" t="s">
        <v>25</v>
      </c>
      <c r="J3" s="1" t="s">
        <v>19</v>
      </c>
      <c r="K3" s="2" t="s">
        <v>26</v>
      </c>
      <c r="L3" s="2">
        <f t="shared" ref="L3:L17" si="0">B3*K3</f>
        <v>0.0488</v>
      </c>
    </row>
    <row r="4" spans="1:12">
      <c r="A4" s="1" t="s">
        <v>27</v>
      </c>
      <c r="B4" s="2">
        <v>2</v>
      </c>
      <c r="C4" s="1" t="s">
        <v>28</v>
      </c>
      <c r="D4" s="1" t="s">
        <v>29</v>
      </c>
      <c r="E4" s="1" t="s">
        <v>15</v>
      </c>
      <c r="F4" s="1" t="s">
        <v>28</v>
      </c>
      <c r="G4" s="1" t="s">
        <v>30</v>
      </c>
      <c r="H4" s="1" t="s">
        <v>17</v>
      </c>
      <c r="I4" s="1" t="s">
        <v>31</v>
      </c>
      <c r="J4" s="1" t="s">
        <v>19</v>
      </c>
      <c r="K4" s="2" t="s">
        <v>32</v>
      </c>
      <c r="L4" s="2">
        <f t="shared" si="0"/>
        <v>0.0518</v>
      </c>
    </row>
    <row r="5" spans="1:12">
      <c r="A5" s="1" t="s">
        <v>33</v>
      </c>
      <c r="B5" s="2">
        <v>1</v>
      </c>
      <c r="C5" s="1" t="s">
        <v>34</v>
      </c>
      <c r="D5" s="1" t="s">
        <v>35</v>
      </c>
      <c r="E5" s="1" t="s">
        <v>15</v>
      </c>
      <c r="F5" s="1" t="s">
        <v>34</v>
      </c>
      <c r="G5" s="1" t="s">
        <v>36</v>
      </c>
      <c r="H5" s="1" t="s">
        <v>37</v>
      </c>
      <c r="I5" s="1" t="s">
        <v>38</v>
      </c>
      <c r="J5" s="1" t="s">
        <v>19</v>
      </c>
      <c r="K5" s="2" t="s">
        <v>39</v>
      </c>
      <c r="L5" s="2">
        <f t="shared" si="0"/>
        <v>0.0197</v>
      </c>
    </row>
    <row r="6" spans="1:12">
      <c r="A6" s="1" t="s">
        <v>40</v>
      </c>
      <c r="B6" s="2">
        <v>2</v>
      </c>
      <c r="C6" s="1" t="s">
        <v>41</v>
      </c>
      <c r="D6" s="1" t="s">
        <v>42</v>
      </c>
      <c r="E6" s="1" t="s">
        <v>15</v>
      </c>
      <c r="F6" s="1" t="s">
        <v>41</v>
      </c>
      <c r="G6" s="1" t="s">
        <v>43</v>
      </c>
      <c r="H6" s="1" t="s">
        <v>44</v>
      </c>
      <c r="I6" s="1" t="s">
        <v>45</v>
      </c>
      <c r="J6" s="1" t="s">
        <v>19</v>
      </c>
      <c r="K6" s="2" t="s">
        <v>46</v>
      </c>
      <c r="L6" s="2">
        <f t="shared" si="0"/>
        <v>0.3774</v>
      </c>
    </row>
    <row r="7" spans="1:12">
      <c r="A7" s="1" t="s">
        <v>47</v>
      </c>
      <c r="B7" s="2">
        <v>2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48</v>
      </c>
      <c r="H7" s="1" t="s">
        <v>52</v>
      </c>
      <c r="I7" s="1" t="s">
        <v>53</v>
      </c>
      <c r="J7" s="1" t="s">
        <v>19</v>
      </c>
      <c r="K7" s="2" t="s">
        <v>54</v>
      </c>
      <c r="L7" s="2">
        <f t="shared" si="0"/>
        <v>0.0956</v>
      </c>
    </row>
    <row r="8" spans="1:12">
      <c r="A8" s="1" t="s">
        <v>55</v>
      </c>
      <c r="B8" s="2">
        <v>1</v>
      </c>
      <c r="C8" s="1" t="s">
        <v>56</v>
      </c>
      <c r="D8" s="1" t="s">
        <v>57</v>
      </c>
      <c r="E8" s="1" t="s">
        <v>58</v>
      </c>
      <c r="F8" s="1" t="s">
        <v>51</v>
      </c>
      <c r="G8" s="1" t="s">
        <v>56</v>
      </c>
      <c r="H8" s="1" t="s">
        <v>59</v>
      </c>
      <c r="I8" s="1" t="s">
        <v>60</v>
      </c>
      <c r="J8" s="1" t="s">
        <v>19</v>
      </c>
      <c r="K8" s="2" t="s">
        <v>61</v>
      </c>
      <c r="L8" s="2">
        <f t="shared" si="0"/>
        <v>0.0606</v>
      </c>
    </row>
    <row r="9" spans="1:12">
      <c r="A9" s="1" t="s">
        <v>62</v>
      </c>
      <c r="B9" s="2">
        <v>1</v>
      </c>
      <c r="C9" s="1" t="s">
        <v>63</v>
      </c>
      <c r="D9" s="1" t="s">
        <v>64</v>
      </c>
      <c r="E9" s="1" t="s">
        <v>65</v>
      </c>
      <c r="F9" s="1" t="s">
        <v>51</v>
      </c>
      <c r="G9" s="1" t="s">
        <v>63</v>
      </c>
      <c r="H9" s="1" t="s">
        <v>66</v>
      </c>
      <c r="I9" s="1" t="s">
        <v>67</v>
      </c>
      <c r="J9" s="1" t="s">
        <v>19</v>
      </c>
      <c r="K9" s="2" t="s">
        <v>68</v>
      </c>
      <c r="L9" s="2">
        <f t="shared" si="0"/>
        <v>0.0227</v>
      </c>
    </row>
    <row r="10" spans="1:12">
      <c r="A10" s="1" t="s">
        <v>69</v>
      </c>
      <c r="B10" s="2">
        <v>1</v>
      </c>
      <c r="C10" s="1" t="s">
        <v>70</v>
      </c>
      <c r="D10" s="1" t="s">
        <v>71</v>
      </c>
      <c r="E10" s="1" t="s">
        <v>72</v>
      </c>
      <c r="F10" s="1" t="s">
        <v>51</v>
      </c>
      <c r="G10" s="1" t="s">
        <v>70</v>
      </c>
      <c r="H10" s="1" t="s">
        <v>73</v>
      </c>
      <c r="I10" s="1" t="s">
        <v>74</v>
      </c>
      <c r="J10" s="1" t="s">
        <v>19</v>
      </c>
      <c r="K10" s="2" t="s">
        <v>75</v>
      </c>
      <c r="L10" s="2">
        <f t="shared" si="0"/>
        <v>1.3033</v>
      </c>
    </row>
    <row r="11" spans="1:12">
      <c r="A11" s="1" t="s">
        <v>76</v>
      </c>
      <c r="B11" s="2">
        <v>3</v>
      </c>
      <c r="C11" s="1" t="s">
        <v>77</v>
      </c>
      <c r="D11" s="1" t="s">
        <v>78</v>
      </c>
      <c r="E11" s="1" t="s">
        <v>79</v>
      </c>
      <c r="F11" s="1" t="s">
        <v>77</v>
      </c>
      <c r="G11" s="1" t="s">
        <v>80</v>
      </c>
      <c r="H11" s="1" t="s">
        <v>81</v>
      </c>
      <c r="I11" s="1" t="s">
        <v>82</v>
      </c>
      <c r="J11" s="1" t="s">
        <v>19</v>
      </c>
      <c r="K11" s="2" t="s">
        <v>83</v>
      </c>
      <c r="L11" s="2">
        <f t="shared" si="0"/>
        <v>0.0213</v>
      </c>
    </row>
    <row r="12" spans="1:12">
      <c r="A12" s="1" t="s">
        <v>84</v>
      </c>
      <c r="B12" s="2">
        <v>1</v>
      </c>
      <c r="C12" s="1" t="s">
        <v>85</v>
      </c>
      <c r="D12" s="1" t="s">
        <v>86</v>
      </c>
      <c r="E12" s="1" t="s">
        <v>79</v>
      </c>
      <c r="F12" s="1" t="s">
        <v>85</v>
      </c>
      <c r="G12" s="1" t="s">
        <v>87</v>
      </c>
      <c r="H12" s="1" t="s">
        <v>88</v>
      </c>
      <c r="I12" s="1" t="s">
        <v>89</v>
      </c>
      <c r="J12" s="1" t="s">
        <v>19</v>
      </c>
      <c r="K12" s="2" t="s">
        <v>90</v>
      </c>
      <c r="L12" s="2">
        <f t="shared" si="0"/>
        <v>0.7417</v>
      </c>
    </row>
    <row r="13" spans="1:12">
      <c r="A13" s="1" t="s">
        <v>91</v>
      </c>
      <c r="B13" s="2">
        <v>1</v>
      </c>
      <c r="C13" s="1" t="s">
        <v>92</v>
      </c>
      <c r="D13" s="1" t="s">
        <v>93</v>
      </c>
      <c r="E13" s="1" t="s">
        <v>79</v>
      </c>
      <c r="F13" s="1" t="s">
        <v>92</v>
      </c>
      <c r="G13" s="1" t="s">
        <v>94</v>
      </c>
      <c r="H13" s="1" t="s">
        <v>17</v>
      </c>
      <c r="I13" s="1" t="s">
        <v>95</v>
      </c>
      <c r="J13" s="1" t="s">
        <v>19</v>
      </c>
      <c r="K13" s="2" t="s">
        <v>96</v>
      </c>
      <c r="L13" s="2">
        <f t="shared" si="0"/>
        <v>0.1585</v>
      </c>
    </row>
    <row r="14" spans="1:12">
      <c r="A14" s="1" t="s">
        <v>97</v>
      </c>
      <c r="B14" s="2">
        <v>2</v>
      </c>
      <c r="C14" s="1" t="s">
        <v>98</v>
      </c>
      <c r="D14" s="1" t="s">
        <v>99</v>
      </c>
      <c r="E14" s="1" t="s">
        <v>79</v>
      </c>
      <c r="F14" s="1" t="s">
        <v>98</v>
      </c>
      <c r="G14" s="1" t="s">
        <v>100</v>
      </c>
      <c r="H14" s="1" t="s">
        <v>17</v>
      </c>
      <c r="I14" s="1" t="s">
        <v>101</v>
      </c>
      <c r="J14" s="1" t="s">
        <v>19</v>
      </c>
      <c r="K14" s="2" t="s">
        <v>102</v>
      </c>
      <c r="L14" s="2">
        <f t="shared" si="0"/>
        <v>0.0134</v>
      </c>
    </row>
    <row r="15" spans="1:12">
      <c r="A15" s="1" t="s">
        <v>103</v>
      </c>
      <c r="B15" s="2">
        <v>4</v>
      </c>
      <c r="C15" s="1" t="s">
        <v>104</v>
      </c>
      <c r="D15" s="1" t="s">
        <v>105</v>
      </c>
      <c r="E15" s="1" t="s">
        <v>104</v>
      </c>
      <c r="F15" s="1" t="s">
        <v>51</v>
      </c>
      <c r="G15" s="1" t="s">
        <v>51</v>
      </c>
      <c r="H15" s="1" t="s">
        <v>51</v>
      </c>
      <c r="I15" s="1" t="s">
        <v>51</v>
      </c>
      <c r="J15" s="1" t="s">
        <v>51</v>
      </c>
      <c r="K15" s="2">
        <v>0.42</v>
      </c>
      <c r="L15" s="2">
        <f t="shared" si="0"/>
        <v>1.68</v>
      </c>
    </row>
    <row r="16" spans="1:12">
      <c r="A16" s="1" t="s">
        <v>106</v>
      </c>
      <c r="B16" s="2">
        <v>1</v>
      </c>
      <c r="C16" s="1" t="s">
        <v>107</v>
      </c>
      <c r="D16" s="1" t="s">
        <v>108</v>
      </c>
      <c r="E16" s="1" t="s">
        <v>109</v>
      </c>
      <c r="F16" s="1" t="s">
        <v>51</v>
      </c>
      <c r="G16" s="1" t="s">
        <v>107</v>
      </c>
      <c r="H16" s="1" t="s">
        <v>110</v>
      </c>
      <c r="I16" s="1" t="s">
        <v>111</v>
      </c>
      <c r="J16" s="1" t="s">
        <v>112</v>
      </c>
      <c r="K16" s="2">
        <v>8.8</v>
      </c>
      <c r="L16" s="2">
        <f t="shared" si="0"/>
        <v>8.8</v>
      </c>
    </row>
    <row r="17" spans="1:12">
      <c r="A17" s="1" t="s">
        <v>113</v>
      </c>
      <c r="B17" s="2">
        <v>3</v>
      </c>
      <c r="C17" s="1" t="s">
        <v>114</v>
      </c>
      <c r="D17" s="1" t="s">
        <v>115</v>
      </c>
      <c r="E17" s="1" t="s">
        <v>116</v>
      </c>
      <c r="F17" s="1" t="s">
        <v>114</v>
      </c>
      <c r="G17" s="1" t="s">
        <v>117</v>
      </c>
      <c r="H17" s="1" t="s">
        <v>118</v>
      </c>
      <c r="I17" s="1" t="s">
        <v>119</v>
      </c>
      <c r="J17" s="1" t="s">
        <v>19</v>
      </c>
      <c r="K17" s="2" t="s">
        <v>120</v>
      </c>
      <c r="L17" s="2">
        <f t="shared" si="0"/>
        <v>8.43</v>
      </c>
    </row>
    <row r="18" ht="21" customHeight="1" spans="1:12">
      <c r="A18" s="1" t="s">
        <v>51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3">
        <f>SUM(L2:L17)</f>
        <v>21.9488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BOM_A High-Performance  AD831-B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会飞的熊猫</cp:lastModifiedBy>
  <dcterms:created xsi:type="dcterms:W3CDTF">2025-11-28T23:18:00Z</dcterms:created>
  <dcterms:modified xsi:type="dcterms:W3CDTF">2025-11-29T17:31:25Z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E39B12AAEFD9492F8BF6F8A1A0FC64A6_12</vt:lpwstr>
  </property>
  <property fmtid="{D5CDD505-2E9C-101B-9397-08002B2CF9AE}" pid="3" name="KSOProductBuildVer">
    <vt:lpwstr>2052-12.1.0.23542</vt:lpwstr>
  </property>
</Properties>
</file>