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/>
  </bookViews>
  <sheets>
    <sheet name="BOM_Board1_Schematic1_2026-03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<sst xmlns="http://schemas.openxmlformats.org/spreadsheetml/2006/main" count="453" uniqueCount="310">
  <si>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</si>
  <si>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</si>
  <si>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</si>
  <si>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</si>
  <si>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</si>
  <si>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</si>
  <si>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</si>
  <si>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</si>
  <si>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</si>
  <si>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</si>
  <si>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Price</t>
  </si>
  <si>
    <t>Sum Price</t>
  </si>
  <si>
    <t>1</t>
  </si>
  <si>
    <t>470uF</t>
  </si>
  <si>
    <t>C1,C4</t>
  </si>
  <si>
    <t>CAP-SMD_BD10.0-L10.3-W10.3-LS11.0</t>
  </si>
  <si>
    <t>JVJ35V470M10x10</t>
  </si>
  <si>
    <t>JIERR(捷而瑞)</t>
  </si>
  <si>
    <t>C46550413</t>
  </si>
  <si>
    <t>LCSC</t>
  </si>
  <si>
    <t>1.1033</t>
  </si>
  <si>
    <t>2</t>
  </si>
  <si>
    <t>1uF</t>
  </si>
  <si>
    <t>C2</t>
  </si>
  <si>
    <t>C0603</t>
  </si>
  <si>
    <t>CGA0603X5R105K500JT</t>
  </si>
  <si>
    <t>HRE(芯声)</t>
  </si>
  <si>
    <t>C6119852</t>
  </si>
  <si>
    <t>0.0379</t>
  </si>
  <si>
    <t>3</t>
  </si>
  <si>
    <t>100nF</t>
  </si>
  <si>
    <t>C3,C8,C11,C12,C14,C15,C16,C18,C20,C22,C24,C25,C26,C27,C28</t>
  </si>
  <si>
    <t>CC0603JRX7R9BB104</t>
  </si>
  <si>
    <t>YAGEO(国巨)</t>
  </si>
  <si>
    <t>C91183</t>
  </si>
  <si>
    <t>0.0258</t>
  </si>
  <si>
    <t>4</t>
  </si>
  <si>
    <t>4.7uF</t>
  </si>
  <si>
    <t>C5</t>
  </si>
  <si>
    <t>CL10A475KO8NNNC</t>
  </si>
  <si>
    <t>SAMSUNG(三星)</t>
  </si>
  <si>
    <t>C19666</t>
  </si>
  <si>
    <t>0.0648</t>
  </si>
  <si>
    <t>5</t>
  </si>
  <si>
    <t>20pF</t>
  </si>
  <si>
    <t>C6,C7</t>
  </si>
  <si>
    <t>CC0603JRNPO9BN200</t>
  </si>
  <si>
    <t>C105621</t>
  </si>
  <si>
    <t>0.0167</t>
  </si>
  <si>
    <t>6</t>
  </si>
  <si>
    <t>10uF</t>
  </si>
  <si>
    <t>C9,C10,C17,C19,C21,C23</t>
  </si>
  <si>
    <t>CGA0603X5R106K100JT</t>
  </si>
  <si>
    <t>C6119842</t>
  </si>
  <si>
    <t>0.0528</t>
  </si>
  <si>
    <t>7</t>
  </si>
  <si>
    <t>22uF</t>
  </si>
  <si>
    <t>C13</t>
  </si>
  <si>
    <t>CASE-A_3216</t>
  </si>
  <si>
    <t>TAJA226K010RNJ</t>
  </si>
  <si>
    <t>Kyocera AVX</t>
  </si>
  <si>
    <t>C11366</t>
  </si>
  <si>
    <t>0.9618</t>
  </si>
  <si>
    <t>8</t>
  </si>
  <si>
    <t>XT30PW-M30.G.Y</t>
  </si>
  <si>
    <t>CN1</t>
  </si>
  <si>
    <t>CONN-TH_XT30PW-M</t>
  </si>
  <si>
    <t/>
  </si>
  <si>
    <t>AMASS(艾迈斯)</t>
  </si>
  <si>
    <t>C431092</t>
  </si>
  <si>
    <t>2.35</t>
  </si>
  <si>
    <t>9</t>
  </si>
  <si>
    <t>XH-4A</t>
  </si>
  <si>
    <t>CN2</t>
  </si>
  <si>
    <t>CONN-TH_XH2.50-4P</t>
  </si>
  <si>
    <t>HCTL(华灿天禄)</t>
  </si>
  <si>
    <t>C2908602</t>
  </si>
  <si>
    <t>0.1859</t>
  </si>
  <si>
    <t>10</t>
  </si>
  <si>
    <t>XH-6A</t>
  </si>
  <si>
    <t>CN3</t>
  </si>
  <si>
    <t>CONN-TH_6P-P2.50_HCTL_XH-6A_C2908604</t>
  </si>
  <si>
    <t>C2908604</t>
  </si>
  <si>
    <t>0.2367</t>
  </si>
  <si>
    <t>11</t>
  </si>
  <si>
    <t>HX-XH2.54-2PZZ</t>
  </si>
  <si>
    <t>CN4,CN5</t>
  </si>
  <si>
    <t>CONN-TH_2P-P2.50_HX-2.54MM-2P-ZZ-MS</t>
  </si>
  <si>
    <t>hanxia(韩下)</t>
  </si>
  <si>
    <t>C42391660</t>
  </si>
  <si>
    <t>0.0458</t>
  </si>
  <si>
    <t>12</t>
  </si>
  <si>
    <t>XH-5A</t>
  </si>
  <si>
    <t>CN6</t>
  </si>
  <si>
    <t>CONN-TH_5P-P2.50_XH-5A</t>
  </si>
  <si>
    <t>C2908603</t>
  </si>
  <si>
    <t>0.2062</t>
  </si>
  <si>
    <t>13</t>
  </si>
  <si>
    <t>SMBJ30A</t>
  </si>
  <si>
    <t>D1</t>
  </si>
  <si>
    <t>SMB_L4.6-W3.6-LS5.4-RD</t>
  </si>
  <si>
    <t>R+O(宏嘉诚)</t>
  </si>
  <si>
    <t>C19077584</t>
  </si>
  <si>
    <t>0.2727</t>
  </si>
  <si>
    <t>14</t>
  </si>
  <si>
    <t>SS16</t>
  </si>
  <si>
    <t>D2</t>
  </si>
  <si>
    <t>SMA_L4.3-W2.6-LS5.0-RD</t>
  </si>
  <si>
    <t>C18199176</t>
  </si>
  <si>
    <t>0.1106</t>
  </si>
  <si>
    <t>15</t>
  </si>
  <si>
    <t>DC-S012A-D025-15A</t>
  </si>
  <si>
    <t>DC1</t>
  </si>
  <si>
    <t>DC-IN-TH_DC-S012A-D025-15A</t>
  </si>
  <si>
    <t>G-Switch(品赞)</t>
  </si>
  <si>
    <t>C7464923</t>
  </si>
  <si>
    <t>4.66</t>
  </si>
  <si>
    <t>16</t>
  </si>
  <si>
    <t>PZ254V-11-04P</t>
  </si>
  <si>
    <t>H1,H6</t>
  </si>
  <si>
    <t>HDR-TH_4P-P2.54-V-M</t>
  </si>
  <si>
    <t>XFCN(兴飞)</t>
  </si>
  <si>
    <t>C2691448</t>
  </si>
  <si>
    <t>0.1525</t>
  </si>
  <si>
    <t>17</t>
  </si>
  <si>
    <t>PZ254V-11-05P</t>
  </si>
  <si>
    <t>H2</t>
  </si>
  <si>
    <t>HDR-TH_5P-P2.54-V-M</t>
  </si>
  <si>
    <t>C492404</t>
  </si>
  <si>
    <t>0.2001</t>
  </si>
  <si>
    <t>18</t>
  </si>
  <si>
    <t>PZ254V-12-4P</t>
  </si>
  <si>
    <t>H8</t>
  </si>
  <si>
    <t>HDR-TH_4P-P2.54-V-M-R2-C2-S2.54</t>
  </si>
  <si>
    <t>C492419</t>
  </si>
  <si>
    <t>0.1652</t>
  </si>
  <si>
    <t>19</t>
  </si>
  <si>
    <t>68uH</t>
  </si>
  <si>
    <t>L1</t>
  </si>
  <si>
    <t>IND-SMD_L11.5-W10.0_SMMS1040</t>
  </si>
  <si>
    <t>SMMS1040-680MT</t>
  </si>
  <si>
    <t>SXN(顺翔诺)</t>
  </si>
  <si>
    <t>C286354</t>
  </si>
  <si>
    <t>1.2875</t>
  </si>
  <si>
    <t>20</t>
  </si>
  <si>
    <t>10uH</t>
  </si>
  <si>
    <t>L2</t>
  </si>
  <si>
    <t>IND-SMD_L7.3-W6.6</t>
  </si>
  <si>
    <t>SMMS0630-100M</t>
  </si>
  <si>
    <t>C128692</t>
  </si>
  <si>
    <t>0.5581</t>
  </si>
  <si>
    <t>21</t>
  </si>
  <si>
    <t>XL-1608SURC-06FJ</t>
  </si>
  <si>
    <t>LED1,LED2,LED3,LED4,LED5,LED6,LED7,LED8</t>
  </si>
  <si>
    <t>LED0603-RD_15406085BA300</t>
  </si>
  <si>
    <t>XINGLIGHT(成兴光)</t>
  </si>
  <si>
    <t>C7371900</t>
  </si>
  <si>
    <t>0.1261</t>
  </si>
  <si>
    <t>22</t>
  </si>
  <si>
    <t>2N7002</t>
  </si>
  <si>
    <t>Q1,Q2</t>
  </si>
  <si>
    <t>SOT-23-3_L2.9-W1.3-P1.90-LS2.4-BR</t>
  </si>
  <si>
    <t>C7420321</t>
  </si>
  <si>
    <t>0.1023</t>
  </si>
  <si>
    <t>23</t>
  </si>
  <si>
    <t>1.2kΩ</t>
  </si>
  <si>
    <t>R1,R8</t>
  </si>
  <si>
    <t>R0603</t>
  </si>
  <si>
    <t>0603WAF1201T5E</t>
  </si>
  <si>
    <t>UNI-ROYAL(厚声)</t>
  </si>
  <si>
    <t>C22765</t>
  </si>
  <si>
    <t>0.0102</t>
  </si>
  <si>
    <t>24</t>
  </si>
  <si>
    <t>10.5kΩ</t>
  </si>
  <si>
    <t>R2</t>
  </si>
  <si>
    <t>0603WAF1052T5E</t>
  </si>
  <si>
    <t>C22855</t>
  </si>
  <si>
    <t>0.0082</t>
  </si>
  <si>
    <t>25</t>
  </si>
  <si>
    <t>0Ω</t>
  </si>
  <si>
    <t>R3,R30</t>
  </si>
  <si>
    <t>R1206</t>
  </si>
  <si>
    <t>RE1206F1R000</t>
  </si>
  <si>
    <t>C46961765</t>
  </si>
  <si>
    <t>0.3148</t>
  </si>
  <si>
    <t>26</t>
  </si>
  <si>
    <t>82kΩ</t>
  </si>
  <si>
    <t>R4</t>
  </si>
  <si>
    <t>0603WAF8202T5E</t>
  </si>
  <si>
    <t>C23254</t>
  </si>
  <si>
    <t>0.0094</t>
  </si>
  <si>
    <t>27</t>
  </si>
  <si>
    <t>16kΩ</t>
  </si>
  <si>
    <t>R5</t>
  </si>
  <si>
    <t>0603WAF1602T5E</t>
  </si>
  <si>
    <t>C4210</t>
  </si>
  <si>
    <t>0.008</t>
  </si>
  <si>
    <t>28</t>
  </si>
  <si>
    <t>10kΩ</t>
  </si>
  <si>
    <t>R6,R9,R10,R12,R21,R22,R23,R26,R27,R28,R29</t>
  </si>
  <si>
    <t>FRC0603J103 TS</t>
  </si>
  <si>
    <t>FOJAN(富捷)</t>
  </si>
  <si>
    <t>C2930027</t>
  </si>
  <si>
    <t>0.0056</t>
  </si>
  <si>
    <t>29</t>
  </si>
  <si>
    <t>3.3kΩ</t>
  </si>
  <si>
    <t>R7</t>
  </si>
  <si>
    <t>0603WAF3301T5E</t>
  </si>
  <si>
    <t>C22978</t>
  </si>
  <si>
    <t>0.0091</t>
  </si>
  <si>
    <t>30</t>
  </si>
  <si>
    <t>1MΩ</t>
  </si>
  <si>
    <t>R11</t>
  </si>
  <si>
    <t>0603WAJ0105T5E</t>
  </si>
  <si>
    <t>C26098</t>
  </si>
  <si>
    <t>0.0073</t>
  </si>
  <si>
    <t>31</t>
  </si>
  <si>
    <t>100Ω</t>
  </si>
  <si>
    <t>R13,R17</t>
  </si>
  <si>
    <t>RC0603FR-07100RL</t>
  </si>
  <si>
    <t>C105588</t>
  </si>
  <si>
    <t>0.0085</t>
  </si>
  <si>
    <t>32</t>
  </si>
  <si>
    <t>1kΩ</t>
  </si>
  <si>
    <t>R14,R16,R19,R20</t>
  </si>
  <si>
    <t>0603WAF1001T5E</t>
  </si>
  <si>
    <t>C21190</t>
  </si>
  <si>
    <t>0.0088</t>
  </si>
  <si>
    <t>33</t>
  </si>
  <si>
    <t>4.7kΩ</t>
  </si>
  <si>
    <t>R15,R18</t>
  </si>
  <si>
    <t>0603WAF4701T5E</t>
  </si>
  <si>
    <t>C23162</t>
  </si>
  <si>
    <t>0.0077</t>
  </si>
  <si>
    <t>34</t>
  </si>
  <si>
    <t>0.1%</t>
  </si>
  <si>
    <t>R24,R25</t>
  </si>
  <si>
    <t>RT0603BRD0710KL</t>
  </si>
  <si>
    <t>C95204</t>
  </si>
  <si>
    <t>0.1363</t>
  </si>
  <si>
    <t>35</t>
  </si>
  <si>
    <t>TSD007A04326A03</t>
  </si>
  <si>
    <t>SW1</t>
  </si>
  <si>
    <t>SW-TH_BZCN_TSD007A04326A03</t>
  </si>
  <si>
    <t>BZCN(博众电气)</t>
  </si>
  <si>
    <t>C2888565</t>
  </si>
  <si>
    <t>0.0733</t>
  </si>
  <si>
    <t>36</t>
  </si>
  <si>
    <t>EC11L1525G01</t>
  </si>
  <si>
    <t>SW2</t>
  </si>
  <si>
    <t>SW-TH_ALPS_EC11L1525G01</t>
  </si>
  <si>
    <t>ALPSALPINE(阿尔卑斯阿尔派)</t>
  </si>
  <si>
    <t>C2991196</t>
  </si>
  <si>
    <t>7.85</t>
  </si>
  <si>
    <t>37</t>
  </si>
  <si>
    <t>LM2596HVS-ADJ</t>
  </si>
  <si>
    <t>U1</t>
  </si>
  <si>
    <t>TO-263-5_L10.2-W8.6-P1.70-LS14.4-BL</t>
  </si>
  <si>
    <t>TECH PUBLIC(台舟)</t>
  </si>
  <si>
    <t>C18221477</t>
  </si>
  <si>
    <t>7.01</t>
  </si>
  <si>
    <t>38</t>
  </si>
  <si>
    <t>AMS1117-3.3</t>
  </si>
  <si>
    <t>U2</t>
  </si>
  <si>
    <t>SOT-223-4_L6.5-W3.5-P2.30-LS7.0-BR</t>
  </si>
  <si>
    <t>UMW(友台半导体)</t>
  </si>
  <si>
    <t>C347222</t>
  </si>
  <si>
    <t>0.2513</t>
  </si>
  <si>
    <t>39</t>
  </si>
  <si>
    <t>STM32F103C8T6</t>
  </si>
  <si>
    <t>U3</t>
  </si>
  <si>
    <t>LQFP-48_L7.0-W7.0-P0.50-LS9.0-BL</t>
  </si>
  <si>
    <t>ST(意法半导体)</t>
  </si>
  <si>
    <t>C8734</t>
  </si>
  <si>
    <t>10.38</t>
  </si>
  <si>
    <t>40</t>
  </si>
  <si>
    <t>LGS5145</t>
  </si>
  <si>
    <t>U4</t>
  </si>
  <si>
    <t>SOT-23-6_L2.9-W1.7-P0.95-LS2.8-BL</t>
  </si>
  <si>
    <t>Legend-Si(棱晶半导体)</t>
  </si>
  <si>
    <t>C5123971</t>
  </si>
  <si>
    <t>1.1509</t>
  </si>
  <si>
    <t>41</t>
  </si>
  <si>
    <t>1N5825</t>
  </si>
  <si>
    <t>U5</t>
  </si>
  <si>
    <t>DO-201AD_BD5.0-L9.0-P13.00-D1.0</t>
  </si>
  <si>
    <t>SUNMATE(森美特)</t>
  </si>
  <si>
    <t>C5338483</t>
  </si>
  <si>
    <t>0.6508</t>
  </si>
  <si>
    <t>42</t>
  </si>
  <si>
    <t>HS96L03W2C03</t>
  </si>
  <si>
    <t>U6</t>
  </si>
  <si>
    <t>OLED-TH_L27.8-W27.2-P2.54_C9900033791</t>
  </si>
  <si>
    <t>HS(汉昇)</t>
  </si>
  <si>
    <t>C5248080</t>
  </si>
  <si>
    <t>13.79</t>
  </si>
  <si>
    <t>43</t>
  </si>
  <si>
    <t>ULN2003A</t>
  </si>
  <si>
    <t>U7</t>
  </si>
  <si>
    <t>SOP-16_L10.0-W3.9-P1.27-LS6.0-BL</t>
  </si>
  <si>
    <t>C482013</t>
  </si>
  <si>
    <t>0.6141</t>
  </si>
  <si>
    <t>44</t>
  </si>
  <si>
    <t>8MHz</t>
  </si>
  <si>
    <t>X1</t>
  </si>
  <si>
    <t>CRYSTAL-SMD_4P-L3.2-W2.5-BL</t>
  </si>
  <si>
    <t>X32258MSB4SI</t>
  </si>
  <si>
    <t>YXC(扬兴晶振)</t>
  </si>
  <si>
    <t>C2682774</t>
  </si>
  <si>
    <t>1.057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</si>
</sst>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topLeftCell="D1" workbookViewId="0">
      <selection activeCell="L3" sqref="L3"/>
    </sheetView>
  </sheetViews>
  <sheetFormatPr defaultColWidth="9" defaultRowHeight="13.5"/>
  <cols>
    <col min="1" max="11" width="20" customWidth="1"/>
    <col min="12" max="12" width="14.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f>K2*B2</f>
        <v>2.2066</v>
      </c>
    </row>
    <row r="3" spans="1:12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>
        <f t="shared" ref="L3:L45" si="0">K3*B3</f>
        <v>0.0379</v>
      </c>
    </row>
    <row r="4" spans="1:12">
      <c r="A4" t="s">
        <v>29</v>
      </c>
      <c r="B4">
        <v>15</v>
      </c>
      <c r="C4" t="s">
        <v>30</v>
      </c>
      <c r="D4" t="s">
        <v>31</v>
      </c>
      <c r="E4" t="s">
        <v>24</v>
      </c>
      <c r="F4" t="s">
        <v>30</v>
      </c>
      <c r="G4" t="s">
        <v>32</v>
      </c>
      <c r="H4" t="s">
        <v>33</v>
      </c>
      <c r="I4" t="s">
        <v>34</v>
      </c>
      <c r="J4" t="s">
        <v>19</v>
      </c>
      <c r="K4" t="s">
        <v>35</v>
      </c>
      <c r="L4">
        <f t="shared" si="0"/>
        <v>0.387</v>
      </c>
    </row>
    <row r="5" spans="1:12">
      <c r="A5" t="s">
        <v>36</v>
      </c>
      <c r="B5">
        <v>1</v>
      </c>
      <c r="C5" t="s">
        <v>37</v>
      </c>
      <c r="D5" t="s">
        <v>38</v>
      </c>
      <c r="E5" t="s">
        <v>24</v>
      </c>
      <c r="F5" t="s">
        <v>37</v>
      </c>
      <c r="G5" t="s">
        <v>39</v>
      </c>
      <c r="H5" t="s">
        <v>40</v>
      </c>
      <c r="I5" t="s">
        <v>41</v>
      </c>
      <c r="J5" t="s">
        <v>19</v>
      </c>
      <c r="K5" t="s">
        <v>42</v>
      </c>
      <c r="L5">
        <f t="shared" si="0"/>
        <v>0.0648</v>
      </c>
    </row>
    <row r="6" spans="1:12">
      <c r="A6" t="s">
        <v>43</v>
      </c>
      <c r="B6">
        <v>2</v>
      </c>
      <c r="C6" t="s">
        <v>44</v>
      </c>
      <c r="D6" t="s">
        <v>45</v>
      </c>
      <c r="E6" t="s">
        <v>24</v>
      </c>
      <c r="F6" t="s">
        <v>44</v>
      </c>
      <c r="G6" t="s">
        <v>46</v>
      </c>
      <c r="H6" t="s">
        <v>33</v>
      </c>
      <c r="I6" t="s">
        <v>47</v>
      </c>
      <c r="J6" t="s">
        <v>19</v>
      </c>
      <c r="K6" t="s">
        <v>48</v>
      </c>
      <c r="L6">
        <f t="shared" si="0"/>
        <v>0.0334</v>
      </c>
    </row>
    <row r="7" spans="1:12">
      <c r="A7" t="s">
        <v>49</v>
      </c>
      <c r="B7">
        <v>6</v>
      </c>
      <c r="C7" t="s">
        <v>50</v>
      </c>
      <c r="D7" t="s">
        <v>51</v>
      </c>
      <c r="E7" t="s">
        <v>24</v>
      </c>
      <c r="F7" t="s">
        <v>50</v>
      </c>
      <c r="G7" t="s">
        <v>52</v>
      </c>
      <c r="H7" t="s">
        <v>26</v>
      </c>
      <c r="I7" t="s">
        <v>53</v>
      </c>
      <c r="J7" t="s">
        <v>19</v>
      </c>
      <c r="K7" t="s">
        <v>54</v>
      </c>
      <c r="L7">
        <f t="shared" si="0"/>
        <v>0.3168</v>
      </c>
    </row>
    <row r="8" spans="1:12">
      <c r="A8" t="s">
        <v>55</v>
      </c>
      <c r="B8">
        <v>1</v>
      </c>
      <c r="C8" t="s">
        <v>56</v>
      </c>
      <c r="D8" t="s">
        <v>57</v>
      </c>
      <c r="E8" t="s">
        <v>58</v>
      </c>
      <c r="F8" t="s">
        <v>56</v>
      </c>
      <c r="G8" t="s">
        <v>59</v>
      </c>
      <c r="H8" t="s">
        <v>60</v>
      </c>
      <c r="I8" t="s">
        <v>61</v>
      </c>
      <c r="J8" t="s">
        <v>19</v>
      </c>
      <c r="K8" t="s">
        <v>62</v>
      </c>
      <c r="L8">
        <f t="shared" si="0"/>
        <v>0.9618</v>
      </c>
    </row>
    <row r="9" spans="1:12">
      <c r="A9" t="s">
        <v>63</v>
      </c>
      <c r="B9">
        <v>1</v>
      </c>
      <c r="C9" t="s">
        <v>64</v>
      </c>
      <c r="D9" t="s">
        <v>65</v>
      </c>
      <c r="E9" t="s">
        <v>66</v>
      </c>
      <c r="F9" t="s">
        <v>67</v>
      </c>
      <c r="G9" t="s">
        <v>64</v>
      </c>
      <c r="H9" t="s">
        <v>68</v>
      </c>
      <c r="I9" t="s">
        <v>69</v>
      </c>
      <c r="J9" t="s">
        <v>19</v>
      </c>
      <c r="K9" t="s">
        <v>70</v>
      </c>
      <c r="L9">
        <f t="shared" si="0"/>
        <v>2.35</v>
      </c>
    </row>
    <row r="10" spans="1:12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67</v>
      </c>
      <c r="G10" t="s">
        <v>72</v>
      </c>
      <c r="H10" t="s">
        <v>75</v>
      </c>
      <c r="I10" t="s">
        <v>76</v>
      </c>
      <c r="J10" t="s">
        <v>19</v>
      </c>
      <c r="K10" t="s">
        <v>77</v>
      </c>
      <c r="L10">
        <f t="shared" si="0"/>
        <v>0.1859</v>
      </c>
    </row>
    <row r="11" spans="1:12">
      <c r="A11" t="s">
        <v>78</v>
      </c>
      <c r="B11">
        <v>1</v>
      </c>
      <c r="C11" t="s">
        <v>79</v>
      </c>
      <c r="D11" t="s">
        <v>80</v>
      </c>
      <c r="E11" t="s">
        <v>81</v>
      </c>
      <c r="F11" t="s">
        <v>67</v>
      </c>
      <c r="G11" t="s">
        <v>79</v>
      </c>
      <c r="H11" t="s">
        <v>75</v>
      </c>
      <c r="I11" t="s">
        <v>82</v>
      </c>
      <c r="J11" t="s">
        <v>19</v>
      </c>
      <c r="K11" t="s">
        <v>83</v>
      </c>
      <c r="L11">
        <f t="shared" si="0"/>
        <v>0.2367</v>
      </c>
    </row>
    <row r="12" spans="1:12">
      <c r="A12" t="s">
        <v>84</v>
      </c>
      <c r="B12">
        <v>2</v>
      </c>
      <c r="C12" t="s">
        <v>85</v>
      </c>
      <c r="D12" t="s">
        <v>86</v>
      </c>
      <c r="E12" t="s">
        <v>87</v>
      </c>
      <c r="F12" t="s">
        <v>67</v>
      </c>
      <c r="G12" t="s">
        <v>85</v>
      </c>
      <c r="H12" t="s">
        <v>88</v>
      </c>
      <c r="I12" t="s">
        <v>89</v>
      </c>
      <c r="J12" t="s">
        <v>19</v>
      </c>
      <c r="K12" t="s">
        <v>90</v>
      </c>
      <c r="L12">
        <f t="shared" si="0"/>
        <v>0.0916</v>
      </c>
    </row>
    <row r="13" spans="1:12">
      <c r="A13" t="s">
        <v>91</v>
      </c>
      <c r="B13">
        <v>1</v>
      </c>
      <c r="C13" t="s">
        <v>92</v>
      </c>
      <c r="D13" t="s">
        <v>93</v>
      </c>
      <c r="E13" t="s">
        <v>94</v>
      </c>
      <c r="F13" t="s">
        <v>67</v>
      </c>
      <c r="G13" t="s">
        <v>92</v>
      </c>
      <c r="H13" t="s">
        <v>75</v>
      </c>
      <c r="I13" t="s">
        <v>95</v>
      </c>
      <c r="J13" t="s">
        <v>19</v>
      </c>
      <c r="K13" t="s">
        <v>96</v>
      </c>
      <c r="L13">
        <f t="shared" si="0"/>
        <v>0.2062</v>
      </c>
    </row>
    <row r="14" spans="1:12">
      <c r="A14" t="s">
        <v>97</v>
      </c>
      <c r="B14">
        <v>1</v>
      </c>
      <c r="C14" t="s">
        <v>98</v>
      </c>
      <c r="D14" t="s">
        <v>99</v>
      </c>
      <c r="E14" t="s">
        <v>100</v>
      </c>
      <c r="F14" t="s">
        <v>67</v>
      </c>
      <c r="G14" t="s">
        <v>98</v>
      </c>
      <c r="H14" t="s">
        <v>101</v>
      </c>
      <c r="I14" t="s">
        <v>102</v>
      </c>
      <c r="J14" t="s">
        <v>19</v>
      </c>
      <c r="K14" t="s">
        <v>103</v>
      </c>
      <c r="L14">
        <f t="shared" si="0"/>
        <v>0.2727</v>
      </c>
    </row>
    <row r="15" spans="1:12">
      <c r="A15" t="s">
        <v>104</v>
      </c>
      <c r="B15">
        <v>1</v>
      </c>
      <c r="C15" t="s">
        <v>105</v>
      </c>
      <c r="D15" t="s">
        <v>106</v>
      </c>
      <c r="E15" t="s">
        <v>107</v>
      </c>
      <c r="F15" t="s">
        <v>67</v>
      </c>
      <c r="G15" t="s">
        <v>105</v>
      </c>
      <c r="H15" t="s">
        <v>101</v>
      </c>
      <c r="I15" t="s">
        <v>108</v>
      </c>
      <c r="J15" t="s">
        <v>19</v>
      </c>
      <c r="K15" t="s">
        <v>109</v>
      </c>
      <c r="L15">
        <f t="shared" si="0"/>
        <v>0.1106</v>
      </c>
    </row>
    <row r="16" spans="1:12">
      <c r="A16" t="s">
        <v>110</v>
      </c>
      <c r="B16">
        <v>1</v>
      </c>
      <c r="C16" t="s">
        <v>111</v>
      </c>
      <c r="D16" t="s">
        <v>112</v>
      </c>
      <c r="E16" t="s">
        <v>113</v>
      </c>
      <c r="F16" t="s">
        <v>67</v>
      </c>
      <c r="G16" t="s">
        <v>111</v>
      </c>
      <c r="H16" t="s">
        <v>114</v>
      </c>
      <c r="I16" t="s">
        <v>115</v>
      </c>
      <c r="J16" t="s">
        <v>19</v>
      </c>
      <c r="K16" t="s">
        <v>116</v>
      </c>
      <c r="L16">
        <f t="shared" si="0"/>
        <v>4.66</v>
      </c>
    </row>
    <row r="17" spans="1:12">
      <c r="A17" t="s">
        <v>117</v>
      </c>
      <c r="B17">
        <v>2</v>
      </c>
      <c r="C17" t="s">
        <v>118</v>
      </c>
      <c r="D17" t="s">
        <v>119</v>
      </c>
      <c r="E17" t="s">
        <v>120</v>
      </c>
      <c r="F17" t="s">
        <v>67</v>
      </c>
      <c r="G17" t="s">
        <v>118</v>
      </c>
      <c r="H17" t="s">
        <v>121</v>
      </c>
      <c r="I17" t="s">
        <v>122</v>
      </c>
      <c r="J17" t="s">
        <v>19</v>
      </c>
      <c r="K17" t="s">
        <v>123</v>
      </c>
      <c r="L17">
        <f t="shared" si="0"/>
        <v>0.305</v>
      </c>
    </row>
    <row r="18" spans="1:12">
      <c r="A18" t="s">
        <v>124</v>
      </c>
      <c r="B18">
        <v>1</v>
      </c>
      <c r="C18" t="s">
        <v>125</v>
      </c>
      <c r="D18" t="s">
        <v>126</v>
      </c>
      <c r="E18" t="s">
        <v>127</v>
      </c>
      <c r="F18" t="s">
        <v>67</v>
      </c>
      <c r="G18" t="s">
        <v>125</v>
      </c>
      <c r="H18" t="s">
        <v>121</v>
      </c>
      <c r="I18" t="s">
        <v>128</v>
      </c>
      <c r="J18" t="s">
        <v>19</v>
      </c>
      <c r="K18" t="s">
        <v>129</v>
      </c>
      <c r="L18">
        <f t="shared" si="0"/>
        <v>0.2001</v>
      </c>
    </row>
    <row r="19" spans="1:12">
      <c r="A19" t="s">
        <v>130</v>
      </c>
      <c r="B19">
        <v>1</v>
      </c>
      <c r="C19" t="s">
        <v>131</v>
      </c>
      <c r="D19" t="s">
        <v>132</v>
      </c>
      <c r="E19" t="s">
        <v>133</v>
      </c>
      <c r="F19" t="s">
        <v>67</v>
      </c>
      <c r="G19" t="s">
        <v>131</v>
      </c>
      <c r="H19" t="s">
        <v>121</v>
      </c>
      <c r="I19" t="s">
        <v>134</v>
      </c>
      <c r="J19" t="s">
        <v>19</v>
      </c>
      <c r="K19" t="s">
        <v>135</v>
      </c>
      <c r="L19">
        <f t="shared" si="0"/>
        <v>0.1652</v>
      </c>
    </row>
    <row r="20" spans="1:12">
      <c r="A20" t="s">
        <v>136</v>
      </c>
      <c r="B20">
        <v>1</v>
      </c>
      <c r="C20" t="s">
        <v>137</v>
      </c>
      <c r="D20" t="s">
        <v>138</v>
      </c>
      <c r="E20" t="s">
        <v>139</v>
      </c>
      <c r="F20" t="s">
        <v>137</v>
      </c>
      <c r="G20" t="s">
        <v>140</v>
      </c>
      <c r="H20" t="s">
        <v>141</v>
      </c>
      <c r="I20" t="s">
        <v>142</v>
      </c>
      <c r="J20" t="s">
        <v>19</v>
      </c>
      <c r="K20" t="s">
        <v>143</v>
      </c>
      <c r="L20">
        <f t="shared" si="0"/>
        <v>1.2875</v>
      </c>
    </row>
    <row r="21" spans="1:12">
      <c r="A21" t="s">
        <v>144</v>
      </c>
      <c r="B21">
        <v>1</v>
      </c>
      <c r="C21" t="s">
        <v>145</v>
      </c>
      <c r="D21" t="s">
        <v>146</v>
      </c>
      <c r="E21" t="s">
        <v>147</v>
      </c>
      <c r="F21" t="s">
        <v>145</v>
      </c>
      <c r="G21" t="s">
        <v>148</v>
      </c>
      <c r="H21" t="s">
        <v>141</v>
      </c>
      <c r="I21" t="s">
        <v>149</v>
      </c>
      <c r="J21" t="s">
        <v>19</v>
      </c>
      <c r="K21" t="s">
        <v>150</v>
      </c>
      <c r="L21">
        <f t="shared" si="0"/>
        <v>0.5581</v>
      </c>
    </row>
    <row r="22" spans="1:12">
      <c r="A22" t="s">
        <v>151</v>
      </c>
      <c r="B22">
        <v>8</v>
      </c>
      <c r="C22" t="s">
        <v>152</v>
      </c>
      <c r="D22" t="s">
        <v>153</v>
      </c>
      <c r="E22" t="s">
        <v>154</v>
      </c>
      <c r="F22" t="s">
        <v>67</v>
      </c>
      <c r="G22" t="s">
        <v>152</v>
      </c>
      <c r="H22" t="s">
        <v>155</v>
      </c>
      <c r="I22" t="s">
        <v>156</v>
      </c>
      <c r="J22" t="s">
        <v>19</v>
      </c>
      <c r="K22" t="s">
        <v>157</v>
      </c>
      <c r="L22">
        <f t="shared" si="0"/>
        <v>1.0088</v>
      </c>
    </row>
    <row r="23" spans="1:12">
      <c r="A23" t="s">
        <v>158</v>
      </c>
      <c r="B23">
        <v>2</v>
      </c>
      <c r="C23" t="s">
        <v>159</v>
      </c>
      <c r="D23" t="s">
        <v>160</v>
      </c>
      <c r="E23" t="s">
        <v>161</v>
      </c>
      <c r="F23" t="s">
        <v>67</v>
      </c>
      <c r="G23" t="s">
        <v>159</v>
      </c>
      <c r="H23" t="s">
        <v>101</v>
      </c>
      <c r="I23" t="s">
        <v>162</v>
      </c>
      <c r="J23" t="s">
        <v>19</v>
      </c>
      <c r="K23" t="s">
        <v>163</v>
      </c>
      <c r="L23">
        <f t="shared" si="0"/>
        <v>0.2046</v>
      </c>
    </row>
    <row r="24" spans="1:12">
      <c r="A24" t="s">
        <v>164</v>
      </c>
      <c r="B24">
        <v>2</v>
      </c>
      <c r="C24" t="s">
        <v>165</v>
      </c>
      <c r="D24" t="s">
        <v>166</v>
      </c>
      <c r="E24" t="s">
        <v>167</v>
      </c>
      <c r="F24" t="s">
        <v>165</v>
      </c>
      <c r="G24" t="s">
        <v>168</v>
      </c>
      <c r="H24" t="s">
        <v>169</v>
      </c>
      <c r="I24" t="s">
        <v>170</v>
      </c>
      <c r="J24" t="s">
        <v>19</v>
      </c>
      <c r="K24" t="s">
        <v>171</v>
      </c>
      <c r="L24">
        <f t="shared" si="0"/>
        <v>0.0204</v>
      </c>
    </row>
    <row r="25" spans="1:12">
      <c r="A25" t="s">
        <v>172</v>
      </c>
      <c r="B25">
        <v>1</v>
      </c>
      <c r="C25" t="s">
        <v>173</v>
      </c>
      <c r="D25" t="s">
        <v>174</v>
      </c>
      <c r="E25" t="s">
        <v>167</v>
      </c>
      <c r="F25" t="s">
        <v>173</v>
      </c>
      <c r="G25" t="s">
        <v>175</v>
      </c>
      <c r="H25" t="s">
        <v>169</v>
      </c>
      <c r="I25" t="s">
        <v>176</v>
      </c>
      <c r="J25" t="s">
        <v>19</v>
      </c>
      <c r="K25" t="s">
        <v>177</v>
      </c>
      <c r="L25">
        <f t="shared" si="0"/>
        <v>0.0082</v>
      </c>
    </row>
    <row r="26" spans="1:12">
      <c r="A26" t="s">
        <v>178</v>
      </c>
      <c r="B26">
        <v>2</v>
      </c>
      <c r="C26" t="s">
        <v>179</v>
      </c>
      <c r="D26" t="s">
        <v>180</v>
      </c>
      <c r="E26" t="s">
        <v>181</v>
      </c>
      <c r="F26" t="s">
        <v>179</v>
      </c>
      <c r="G26" t="s">
        <v>182</v>
      </c>
      <c r="H26" t="s">
        <v>17</v>
      </c>
      <c r="I26" t="s">
        <v>183</v>
      </c>
      <c r="J26" t="s">
        <v>19</v>
      </c>
      <c r="K26" t="s">
        <v>184</v>
      </c>
      <c r="L26">
        <f t="shared" si="0"/>
        <v>0.6296</v>
      </c>
    </row>
    <row r="27" spans="1:12">
      <c r="A27" t="s">
        <v>185</v>
      </c>
      <c r="B27">
        <v>1</v>
      </c>
      <c r="C27" t="s">
        <v>186</v>
      </c>
      <c r="D27" t="s">
        <v>187</v>
      </c>
      <c r="E27" t="s">
        <v>167</v>
      </c>
      <c r="F27" t="s">
        <v>186</v>
      </c>
      <c r="G27" t="s">
        <v>188</v>
      </c>
      <c r="H27" t="s">
        <v>169</v>
      </c>
      <c r="I27" t="s">
        <v>189</v>
      </c>
      <c r="J27" t="s">
        <v>19</v>
      </c>
      <c r="K27" t="s">
        <v>190</v>
      </c>
      <c r="L27">
        <f t="shared" si="0"/>
        <v>0.0094</v>
      </c>
    </row>
    <row r="28" spans="1:12">
      <c r="A28" t="s">
        <v>191</v>
      </c>
      <c r="B28">
        <v>1</v>
      </c>
      <c r="C28" t="s">
        <v>192</v>
      </c>
      <c r="D28" t="s">
        <v>193</v>
      </c>
      <c r="E28" t="s">
        <v>167</v>
      </c>
      <c r="F28" t="s">
        <v>192</v>
      </c>
      <c r="G28" t="s">
        <v>194</v>
      </c>
      <c r="H28" t="s">
        <v>169</v>
      </c>
      <c r="I28" t="s">
        <v>195</v>
      </c>
      <c r="J28" t="s">
        <v>19</v>
      </c>
      <c r="K28" t="s">
        <v>196</v>
      </c>
      <c r="L28">
        <f t="shared" si="0"/>
        <v>0.008</v>
      </c>
    </row>
    <row r="29" spans="1:12">
      <c r="A29" t="s">
        <v>197</v>
      </c>
      <c r="B29">
        <v>11</v>
      </c>
      <c r="C29" t="s">
        <v>198</v>
      </c>
      <c r="D29" t="s">
        <v>199</v>
      </c>
      <c r="E29" t="s">
        <v>167</v>
      </c>
      <c r="F29" t="s">
        <v>198</v>
      </c>
      <c r="G29" t="s">
        <v>200</v>
      </c>
      <c r="H29" t="s">
        <v>201</v>
      </c>
      <c r="I29" t="s">
        <v>202</v>
      </c>
      <c r="J29" t="s">
        <v>19</v>
      </c>
      <c r="K29" t="s">
        <v>203</v>
      </c>
      <c r="L29">
        <f t="shared" si="0"/>
        <v>0.0616</v>
      </c>
    </row>
    <row r="30" spans="1:12">
      <c r="A30" t="s">
        <v>204</v>
      </c>
      <c r="B30">
        <v>1</v>
      </c>
      <c r="C30" t="s">
        <v>205</v>
      </c>
      <c r="D30" t="s">
        <v>206</v>
      </c>
      <c r="E30" t="s">
        <v>167</v>
      </c>
      <c r="F30" t="s">
        <v>205</v>
      </c>
      <c r="G30" t="s">
        <v>207</v>
      </c>
      <c r="H30" t="s">
        <v>169</v>
      </c>
      <c r="I30" t="s">
        <v>208</v>
      </c>
      <c r="J30" t="s">
        <v>19</v>
      </c>
      <c r="K30" t="s">
        <v>209</v>
      </c>
      <c r="L30">
        <f t="shared" si="0"/>
        <v>0.0091</v>
      </c>
    </row>
    <row r="31" spans="1:12">
      <c r="A31" t="s">
        <v>210</v>
      </c>
      <c r="B31">
        <v>1</v>
      </c>
      <c r="C31" t="s">
        <v>211</v>
      </c>
      <c r="D31" t="s">
        <v>212</v>
      </c>
      <c r="E31" t="s">
        <v>167</v>
      </c>
      <c r="F31" t="s">
        <v>211</v>
      </c>
      <c r="G31" t="s">
        <v>213</v>
      </c>
      <c r="H31" t="s">
        <v>169</v>
      </c>
      <c r="I31" t="s">
        <v>214</v>
      </c>
      <c r="J31" t="s">
        <v>19</v>
      </c>
      <c r="K31" t="s">
        <v>215</v>
      </c>
      <c r="L31">
        <f t="shared" si="0"/>
        <v>0.0073</v>
      </c>
    </row>
    <row r="32" spans="1:12">
      <c r="A32" t="s">
        <v>216</v>
      </c>
      <c r="B32">
        <v>2</v>
      </c>
      <c r="C32" t="s">
        <v>217</v>
      </c>
      <c r="D32" t="s">
        <v>218</v>
      </c>
      <c r="E32" t="s">
        <v>167</v>
      </c>
      <c r="F32" t="s">
        <v>217</v>
      </c>
      <c r="G32" t="s">
        <v>219</v>
      </c>
      <c r="H32" t="s">
        <v>33</v>
      </c>
      <c r="I32" t="s">
        <v>220</v>
      </c>
      <c r="J32" t="s">
        <v>19</v>
      </c>
      <c r="K32" t="s">
        <v>221</v>
      </c>
      <c r="L32">
        <f t="shared" si="0"/>
        <v>0.017</v>
      </c>
    </row>
    <row r="33" spans="1:12">
      <c r="A33" t="s">
        <v>222</v>
      </c>
      <c r="B33">
        <v>4</v>
      </c>
      <c r="C33" t="s">
        <v>223</v>
      </c>
      <c r="D33" t="s">
        <v>224</v>
      </c>
      <c r="E33" t="s">
        <v>167</v>
      </c>
      <c r="F33" t="s">
        <v>223</v>
      </c>
      <c r="G33" t="s">
        <v>225</v>
      </c>
      <c r="H33" t="s">
        <v>169</v>
      </c>
      <c r="I33" t="s">
        <v>226</v>
      </c>
      <c r="J33" t="s">
        <v>19</v>
      </c>
      <c r="K33" t="s">
        <v>227</v>
      </c>
      <c r="L33">
        <f t="shared" si="0"/>
        <v>0.0352</v>
      </c>
    </row>
    <row r="34" spans="1:12">
      <c r="A34" t="s">
        <v>228</v>
      </c>
      <c r="B34">
        <v>2</v>
      </c>
      <c r="C34" t="s">
        <v>229</v>
      </c>
      <c r="D34" t="s">
        <v>230</v>
      </c>
      <c r="E34" t="s">
        <v>167</v>
      </c>
      <c r="F34" t="s">
        <v>229</v>
      </c>
      <c r="G34" t="s">
        <v>231</v>
      </c>
      <c r="H34" t="s">
        <v>169</v>
      </c>
      <c r="I34" t="s">
        <v>232</v>
      </c>
      <c r="J34" t="s">
        <v>19</v>
      </c>
      <c r="K34" t="s">
        <v>233</v>
      </c>
      <c r="L34">
        <f t="shared" si="0"/>
        <v>0.0154</v>
      </c>
    </row>
    <row r="35" spans="1:12">
      <c r="A35" t="s">
        <v>234</v>
      </c>
      <c r="B35">
        <v>2</v>
      </c>
      <c r="C35" t="s">
        <v>235</v>
      </c>
      <c r="D35" t="s">
        <v>236</v>
      </c>
      <c r="E35" t="s">
        <v>167</v>
      </c>
      <c r="F35" t="s">
        <v>198</v>
      </c>
      <c r="G35" t="s">
        <v>237</v>
      </c>
      <c r="H35" t="s">
        <v>33</v>
      </c>
      <c r="I35" t="s">
        <v>238</v>
      </c>
      <c r="J35" t="s">
        <v>19</v>
      </c>
      <c r="K35" t="s">
        <v>239</v>
      </c>
      <c r="L35">
        <f t="shared" si="0"/>
        <v>0.2726</v>
      </c>
    </row>
    <row r="36" spans="1:12">
      <c r="A36" t="s">
        <v>240</v>
      </c>
      <c r="B36">
        <v>1</v>
      </c>
      <c r="C36" t="s">
        <v>241</v>
      </c>
      <c r="D36" t="s">
        <v>242</v>
      </c>
      <c r="E36" t="s">
        <v>243</v>
      </c>
      <c r="F36" t="s">
        <v>67</v>
      </c>
      <c r="G36" t="s">
        <v>241</v>
      </c>
      <c r="H36" t="s">
        <v>244</v>
      </c>
      <c r="I36" t="s">
        <v>245</v>
      </c>
      <c r="J36" t="s">
        <v>19</v>
      </c>
      <c r="K36" t="s">
        <v>246</v>
      </c>
      <c r="L36">
        <f t="shared" si="0"/>
        <v>0.0733</v>
      </c>
    </row>
    <row r="37" spans="1:12">
      <c r="A37" t="s">
        <v>247</v>
      </c>
      <c r="B37">
        <v>1</v>
      </c>
      <c r="C37" t="s">
        <v>248</v>
      </c>
      <c r="D37" t="s">
        <v>249</v>
      </c>
      <c r="E37" t="s">
        <v>250</v>
      </c>
      <c r="F37" t="s">
        <v>67</v>
      </c>
      <c r="G37" t="s">
        <v>248</v>
      </c>
      <c r="H37" t="s">
        <v>251</v>
      </c>
      <c r="I37" t="s">
        <v>252</v>
      </c>
      <c r="J37" t="s">
        <v>19</v>
      </c>
      <c r="K37" t="s">
        <v>253</v>
      </c>
      <c r="L37">
        <f t="shared" si="0"/>
        <v>7.85</v>
      </c>
    </row>
    <row r="38" spans="1:12">
      <c r="A38" t="s">
        <v>254</v>
      </c>
      <c r="B38">
        <v>1</v>
      </c>
      <c r="C38" t="s">
        <v>255</v>
      </c>
      <c r="D38" t="s">
        <v>256</v>
      </c>
      <c r="E38" t="s">
        <v>257</v>
      </c>
      <c r="F38" t="s">
        <v>67</v>
      </c>
      <c r="G38" t="s">
        <v>255</v>
      </c>
      <c r="H38" t="s">
        <v>258</v>
      </c>
      <c r="I38" t="s">
        <v>259</v>
      </c>
      <c r="J38" t="s">
        <v>19</v>
      </c>
      <c r="K38" t="s">
        <v>260</v>
      </c>
      <c r="L38">
        <f t="shared" si="0"/>
        <v>7.01</v>
      </c>
    </row>
    <row r="39" spans="1:12">
      <c r="A39" t="s">
        <v>261</v>
      </c>
      <c r="B39">
        <v>1</v>
      </c>
      <c r="C39" t="s">
        <v>262</v>
      </c>
      <c r="D39" t="s">
        <v>263</v>
      </c>
      <c r="E39" t="s">
        <v>264</v>
      </c>
      <c r="F39" t="s">
        <v>67</v>
      </c>
      <c r="G39" t="s">
        <v>262</v>
      </c>
      <c r="H39" t="s">
        <v>265</v>
      </c>
      <c r="I39" t="s">
        <v>266</v>
      </c>
      <c r="J39" t="s">
        <v>19</v>
      </c>
      <c r="K39" t="s">
        <v>267</v>
      </c>
      <c r="L39">
        <f t="shared" si="0"/>
        <v>0.2513</v>
      </c>
    </row>
    <row r="40" spans="1:12">
      <c r="A40" t="s">
        <v>268</v>
      </c>
      <c r="B40">
        <v>1</v>
      </c>
      <c r="C40" t="s">
        <v>269</v>
      </c>
      <c r="D40" t="s">
        <v>270</v>
      </c>
      <c r="E40" t="s">
        <v>271</v>
      </c>
      <c r="F40" t="s">
        <v>67</v>
      </c>
      <c r="G40" t="s">
        <v>269</v>
      </c>
      <c r="H40" t="s">
        <v>272</v>
      </c>
      <c r="I40" t="s">
        <v>273</v>
      </c>
      <c r="J40" t="s">
        <v>19</v>
      </c>
      <c r="K40" t="s">
        <v>274</v>
      </c>
      <c r="L40">
        <f t="shared" si="0"/>
        <v>10.38</v>
      </c>
    </row>
    <row r="41" spans="1:12">
      <c r="A41" t="s">
        <v>275</v>
      </c>
      <c r="B41">
        <v>1</v>
      </c>
      <c r="C41" t="s">
        <v>276</v>
      </c>
      <c r="D41" t="s">
        <v>277</v>
      </c>
      <c r="E41" t="s">
        <v>278</v>
      </c>
      <c r="F41" t="s">
        <v>67</v>
      </c>
      <c r="G41" t="s">
        <v>276</v>
      </c>
      <c r="H41" t="s">
        <v>279</v>
      </c>
      <c r="I41" t="s">
        <v>280</v>
      </c>
      <c r="J41" t="s">
        <v>19</v>
      </c>
      <c r="K41" t="s">
        <v>281</v>
      </c>
      <c r="L41">
        <f t="shared" si="0"/>
        <v>1.1509</v>
      </c>
    </row>
    <row r="42" spans="1:12">
      <c r="A42" t="s">
        <v>282</v>
      </c>
      <c r="B42">
        <v>1</v>
      </c>
      <c r="C42" t="s">
        <v>283</v>
      </c>
      <c r="D42" t="s">
        <v>284</v>
      </c>
      <c r="E42" t="s">
        <v>285</v>
      </c>
      <c r="F42" t="s">
        <v>67</v>
      </c>
      <c r="G42" t="s">
        <v>283</v>
      </c>
      <c r="H42" t="s">
        <v>286</v>
      </c>
      <c r="I42" t="s">
        <v>287</v>
      </c>
      <c r="J42" t="s">
        <v>19</v>
      </c>
      <c r="K42" t="s">
        <v>288</v>
      </c>
      <c r="L42">
        <f t="shared" si="0"/>
        <v>0.6508</v>
      </c>
    </row>
    <row r="43" spans="1:12">
      <c r="A43" t="s">
        <v>289</v>
      </c>
      <c r="B43">
        <v>1</v>
      </c>
      <c r="C43" t="s">
        <v>290</v>
      </c>
      <c r="D43" t="s">
        <v>291</v>
      </c>
      <c r="E43" t="s">
        <v>292</v>
      </c>
      <c r="F43" t="s">
        <v>67</v>
      </c>
      <c r="G43" t="s">
        <v>290</v>
      </c>
      <c r="H43" t="s">
        <v>293</v>
      </c>
      <c r="I43" t="s">
        <v>294</v>
      </c>
      <c r="J43" t="s">
        <v>19</v>
      </c>
      <c r="K43" t="s">
        <v>295</v>
      </c>
      <c r="L43">
        <f t="shared" si="0"/>
        <v>13.79</v>
      </c>
    </row>
    <row r="44" spans="1:12">
      <c r="A44" t="s">
        <v>296</v>
      </c>
      <c r="B44">
        <v>1</v>
      </c>
      <c r="C44" t="s">
        <v>297</v>
      </c>
      <c r="D44" t="s">
        <v>298</v>
      </c>
      <c r="E44" t="s">
        <v>299</v>
      </c>
      <c r="F44" t="s">
        <v>67</v>
      </c>
      <c r="G44" t="s">
        <v>297</v>
      </c>
      <c r="H44" t="s">
        <v>265</v>
      </c>
      <c r="I44" t="s">
        <v>300</v>
      </c>
      <c r="J44" t="s">
        <v>19</v>
      </c>
      <c r="K44" t="s">
        <v>301</v>
      </c>
      <c r="L44">
        <f t="shared" si="0"/>
        <v>0.6141</v>
      </c>
    </row>
    <row r="45" spans="1:12">
      <c r="A45" t="s">
        <v>302</v>
      </c>
      <c r="B45">
        <v>1</v>
      </c>
      <c r="C45" t="s">
        <v>303</v>
      </c>
      <c r="D45" t="s">
        <v>304</v>
      </c>
      <c r="E45" t="s">
        <v>305</v>
      </c>
      <c r="F45" t="s">
        <v>303</v>
      </c>
      <c r="G45" t="s">
        <v>306</v>
      </c>
      <c r="H45" t="s">
        <v>307</v>
      </c>
      <c r="I45" t="s">
        <v>308</v>
      </c>
      <c r="J45" t="s">
        <v>19</v>
      </c>
      <c r="K45" t="s">
        <v>309</v>
      </c>
      <c r="L45">
        <f t="shared" si="0"/>
        <v>1.057</v>
      </c>
    </row>
    <row r="46" spans="1:12">
      <c r="A46" t="s">
        <v>67</v>
      </c>
      <c r="L46">
        <f>SUM(L2:L45)</f>
        <v>59.7725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BOM_Board1_Schematic1_2026-03-2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会飞的熊猫</cp:lastModifiedBy>
  <dcterms:created xsi:type="dcterms:W3CDTF">2026-03-29T14:16:00Z</dcterms:created>
  <dcterms:modified xsi:type="dcterms:W3CDTF">2026-03-29T14:17:49Z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4A7E027AC3E743AF8563CE11A5D6BD94_12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