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bom模板" sheetId="1" r:id="rId1"/>
    <sheet name="Field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<sst xmlns="http://schemas.openxmlformats.org/spreadsheetml/2006/main" count="639" uniqueCount="376">
  <si>
    <t/>
  </si>
  <si>
    <t xml:space="preserve">Bill of Materials </t>
  </si>
  <si>
    <t>BOM_DRV8301_1_PCB1_1_2025-11-21</t>
  </si>
  <si>
    <t>Project Title：</t>
  </si>
  <si>
    <t>FOC无感控制 驱动板 永磁同步电机PMSM 无刷电机驱动板</t>
  </si>
  <si>
    <t>Variant:</t>
  </si>
  <si>
    <t xml:space="preserve"> </t>
  </si>
  <si>
    <t>Report Time：</t>
  </si>
  <si>
    <t>2025年11月21日 1:0:57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</si>
  <si>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</si>
  <si>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</si>
  <si>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</si>
  <si>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</si>
  <si>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</si>
  <si>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</si>
  <si>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</si>
  <si>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</si>
  <si>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</si>
  <si>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</si>
  <si>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</si>
  <si>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</si>
  <si>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TS-1187A-B-A-B</t>
  </si>
  <si>
    <t>1, 2, 3, 4</t>
  </si>
  <si>
    <t>SW-SMD_4P-L5.1-W5.1-P3.70-LS6.5-TL-2</t>
  </si>
  <si>
    <t>XKB Connectivity(中国星坤)</t>
  </si>
  <si>
    <t>C318884</t>
  </si>
  <si>
    <t>LCSC</t>
  </si>
  <si>
    <t>0.1235</t>
  </si>
  <si>
    <t>AMS1117-3.3</t>
  </si>
  <si>
    <t>*2</t>
  </si>
  <si>
    <t>SOT-223-3_L6.5-W3.4-P2.30-LS7.0-BR</t>
  </si>
  <si>
    <t>AMS</t>
  </si>
  <si>
    <t>C6186</t>
  </si>
  <si>
    <t>1.0589</t>
  </si>
  <si>
    <t>RH-5000</t>
  </si>
  <si>
    <t>AH1, AL1, BH1, BL1, CH1, CL1, G1, G2, G3, G4, G5, G6, G7, G8, H1, H2, H3, IA1, IB1, IBUS1, U3, V1, VBUS1, W1</t>
  </si>
  <si>
    <t>TEST-TH_BD2.54-P1.4_RED</t>
  </si>
  <si>
    <t>荣和</t>
  </si>
  <si>
    <t>C5277086</t>
  </si>
  <si>
    <t>0.4821</t>
  </si>
  <si>
    <t>6.8nF</t>
  </si>
  <si>
    <t>C1</t>
  </si>
  <si>
    <t>C0603</t>
  </si>
  <si>
    <t>0603B682K500NT</t>
  </si>
  <si>
    <t>FH(风华)</t>
  </si>
  <si>
    <t>C1631</t>
  </si>
  <si>
    <t>0.019</t>
  </si>
  <si>
    <t>2.2uF</t>
  </si>
  <si>
    <t>C2, C17, C32, C37, C38</t>
  </si>
  <si>
    <t>C0805</t>
  </si>
  <si>
    <t>CL21A225KBQNNNE</t>
  </si>
  <si>
    <t>SAMSUNG(三星)</t>
  </si>
  <si>
    <t>C377773</t>
  </si>
  <si>
    <t>0.1044</t>
  </si>
  <si>
    <t>100nF</t>
  </si>
  <si>
    <t>C3, C10, C11, C16, C19, C23, C33</t>
  </si>
  <si>
    <t>CC0805KRX7R9BB104</t>
  </si>
  <si>
    <t>YAGEO(国巨)</t>
  </si>
  <si>
    <t>C49678</t>
  </si>
  <si>
    <t>0.0285</t>
  </si>
  <si>
    <t>15nF</t>
  </si>
  <si>
    <t>C4</t>
  </si>
  <si>
    <t>0603B153K500NT</t>
  </si>
  <si>
    <t>C1596</t>
  </si>
  <si>
    <t>0.0268</t>
  </si>
  <si>
    <t>39pF</t>
  </si>
  <si>
    <t>C5</t>
  </si>
  <si>
    <t>0603CG390J500NT</t>
  </si>
  <si>
    <t>C1666</t>
  </si>
  <si>
    <t>0.018</t>
  </si>
  <si>
    <t>C7, C14, C20, C25, C30, C39, C43, C50, C51, C52, C53, C63, C66, C67, C68, C72</t>
  </si>
  <si>
    <t>C0402</t>
  </si>
  <si>
    <t>CL05B104KB54PNC</t>
  </si>
  <si>
    <t>C307331</t>
  </si>
  <si>
    <t>0.024</t>
  </si>
  <si>
    <t>4.7nF</t>
  </si>
  <si>
    <t>C9, C22, C26, C28, C69, C71, C73, C80</t>
  </si>
  <si>
    <t>0402B472K500NT</t>
  </si>
  <si>
    <t>C1538</t>
  </si>
  <si>
    <t>0.007</t>
  </si>
  <si>
    <t>47uF</t>
  </si>
  <si>
    <t>C12, C84</t>
  </si>
  <si>
    <t>C1206</t>
  </si>
  <si>
    <t>CL31A476MPHNNNE</t>
  </si>
  <si>
    <t>C96123</t>
  </si>
  <si>
    <t>0.4538</t>
  </si>
  <si>
    <t>1uF</t>
  </si>
  <si>
    <t>C13</t>
  </si>
  <si>
    <t>CL10A105KB8NNNC</t>
  </si>
  <si>
    <t>C15849</t>
  </si>
  <si>
    <t>0.0311</t>
  </si>
  <si>
    <t>22nF</t>
  </si>
  <si>
    <t>C18</t>
  </si>
  <si>
    <t>0402B223K500NT</t>
  </si>
  <si>
    <t>C1532</t>
  </si>
  <si>
    <t>0.011</t>
  </si>
  <si>
    <t>12pF</t>
  </si>
  <si>
    <t>C21, C24</t>
  </si>
  <si>
    <t>0402CG120J500NT</t>
  </si>
  <si>
    <t>C1547</t>
  </si>
  <si>
    <t>0.0068</t>
  </si>
  <si>
    <t>20pF</t>
  </si>
  <si>
    <t>C27, C34, C40, C41, C42</t>
  </si>
  <si>
    <t>0402CG200J500NT</t>
  </si>
  <si>
    <t>C1554</t>
  </si>
  <si>
    <t>0.0066</t>
  </si>
  <si>
    <t>C29, C31</t>
  </si>
  <si>
    <t>CL05A105KA5NQNC</t>
  </si>
  <si>
    <t>C52923</t>
  </si>
  <si>
    <t>4.7uF</t>
  </si>
  <si>
    <t>C55</t>
  </si>
  <si>
    <t>CL05A475MP5NRNC</t>
  </si>
  <si>
    <t>C23733</t>
  </si>
  <si>
    <t>0.0307</t>
  </si>
  <si>
    <t>1nF</t>
  </si>
  <si>
    <t>C64, C65, C70</t>
  </si>
  <si>
    <t>0402B102K500NT</t>
  </si>
  <si>
    <t>C1523</t>
  </si>
  <si>
    <t>0.0069</t>
  </si>
  <si>
    <t>C74</t>
  </si>
  <si>
    <t>CL10A225KO8NNNC</t>
  </si>
  <si>
    <t>C23630</t>
  </si>
  <si>
    <t>0.0358</t>
  </si>
  <si>
    <t>470uF</t>
  </si>
  <si>
    <t>C81</t>
  </si>
  <si>
    <t>CAP-TH_BD8.0-P3.50-D0.6-FD</t>
  </si>
  <si>
    <t>KM477M025F12RR0VH2FP0</t>
  </si>
  <si>
    <t>CX(承兴)</t>
  </si>
  <si>
    <t>C43839</t>
  </si>
  <si>
    <t>0.2486</t>
  </si>
  <si>
    <t>330uF</t>
  </si>
  <si>
    <t>C82, C83</t>
  </si>
  <si>
    <t>CAP-TH_BD10.0-P5.00-D1.0-FD</t>
  </si>
  <si>
    <t>50PX330MEFC10X16</t>
  </si>
  <si>
    <t>rubycon(红宝石)</t>
  </si>
  <si>
    <t>C88789</t>
  </si>
  <si>
    <t>1.3022</t>
  </si>
  <si>
    <t>HCZZ0001-5</t>
  </si>
  <si>
    <t>CN1</t>
  </si>
  <si>
    <t>CONN-SMD_5P-P1.25_HCZZ0001-5</t>
  </si>
  <si>
    <t>HC(虹成电子)</t>
  </si>
  <si>
    <t>C7433456</t>
  </si>
  <si>
    <t>0.1663</t>
  </si>
  <si>
    <t>ZX-MX1.25-4PWT</t>
  </si>
  <si>
    <t>CN2, CN3</t>
  </si>
  <si>
    <t>CONN-SMD_4P-P1.25-MX1.25-4P-WT</t>
  </si>
  <si>
    <t>Megastar(兆星)</t>
  </si>
  <si>
    <t>C7430470</t>
  </si>
  <si>
    <t>0.2498</t>
  </si>
  <si>
    <t>19-213/Y2C-CQ2R2L/3T(CY)</t>
  </si>
  <si>
    <t>D2, D6</t>
  </si>
  <si>
    <t>LED0603-RD-YELLOW</t>
  </si>
  <si>
    <t>EVERLIGHT(亿光)</t>
  </si>
  <si>
    <t>C72038</t>
  </si>
  <si>
    <t>0.1328</t>
  </si>
  <si>
    <t>B5819W SL</t>
  </si>
  <si>
    <t>D3</t>
  </si>
  <si>
    <t>SOD-123_L2.7-W1.6-LS3.7-RD-1</t>
  </si>
  <si>
    <t>CJ(江苏长电/长晶)</t>
  </si>
  <si>
    <t>C8598</t>
  </si>
  <si>
    <t>0.1485</t>
  </si>
  <si>
    <t>KT-0603W</t>
  </si>
  <si>
    <t>D4</t>
  </si>
  <si>
    <t>LED0603-RD</t>
  </si>
  <si>
    <t>KENTO</t>
  </si>
  <si>
    <t>C2290</t>
  </si>
  <si>
    <t>0.0679</t>
  </si>
  <si>
    <t>KT-0603R</t>
  </si>
  <si>
    <t>D5</t>
  </si>
  <si>
    <t>C2286</t>
  </si>
  <si>
    <t>0.0372</t>
  </si>
  <si>
    <t>2.54-1*5P母</t>
  </si>
  <si>
    <t>H4</t>
  </si>
  <si>
    <t>HDR-TH_5P-P2.54-V-F</t>
  </si>
  <si>
    <t>BOOMELE(博穆精密)</t>
  </si>
  <si>
    <t>C50950</t>
  </si>
  <si>
    <t>0.4157</t>
  </si>
  <si>
    <t>HDR-M_2.54_1x7P</t>
  </si>
  <si>
    <t>H5</t>
  </si>
  <si>
    <t>HDR-TH_7P-P2.54-V-M</t>
  </si>
  <si>
    <t>C492406</t>
  </si>
  <si>
    <t>0.2508</t>
  </si>
  <si>
    <t>33uH</t>
  </si>
  <si>
    <t>L1</t>
  </si>
  <si>
    <t>IND-SMD_L7.1-W6.6_MJC-0603T</t>
  </si>
  <si>
    <t>CXP0630-330M-AG(33uh)</t>
  </si>
  <si>
    <t>DMBJ(振宝佳)</t>
  </si>
  <si>
    <t>C7461364</t>
  </si>
  <si>
    <t>0.4206</t>
  </si>
  <si>
    <t>GZ1608D601TF</t>
  </si>
  <si>
    <t>L2, L3</t>
  </si>
  <si>
    <t>L0603</t>
  </si>
  <si>
    <t>10mH</t>
  </si>
  <si>
    <t>Sunlord(顺络)</t>
  </si>
  <si>
    <t>C1002</t>
  </si>
  <si>
    <t>0.044</t>
  </si>
  <si>
    <t>AO3401A</t>
  </si>
  <si>
    <t>Q1, Q2, Q3</t>
  </si>
  <si>
    <t>SOT-23_L2.9-W1.3-P1.90-LS2.4-BR</t>
  </si>
  <si>
    <t>AOS</t>
  </si>
  <si>
    <t>C15127</t>
  </si>
  <si>
    <t>0.3697</t>
  </si>
  <si>
    <t>HY3010D</t>
  </si>
  <si>
    <t>Q4, Q5, Q6, Q7, Q8, Q9</t>
  </si>
  <si>
    <t>TO-252-2_L6.6-W6.0-P4.58-LS10.1-BR</t>
  </si>
  <si>
    <t>HUAYI(华羿微)</t>
  </si>
  <si>
    <t>C2897491</t>
  </si>
  <si>
    <t>2.78</t>
  </si>
  <si>
    <t>100kΩ</t>
  </si>
  <si>
    <t>R2, R78, R79, R80</t>
  </si>
  <si>
    <t>R0603</t>
  </si>
  <si>
    <t>0603WAF1003T5E</t>
  </si>
  <si>
    <t>UNI-ROYAL(厚声)</t>
  </si>
  <si>
    <t>C25803</t>
  </si>
  <si>
    <t>28kΩ</t>
  </si>
  <si>
    <t>R3</t>
  </si>
  <si>
    <t>0603WAF2802T5E</t>
  </si>
  <si>
    <t>C22989</t>
  </si>
  <si>
    <t>205kΩ</t>
  </si>
  <si>
    <t>R4</t>
  </si>
  <si>
    <t>RS-03K2053FT</t>
  </si>
  <si>
    <t>C321779</t>
  </si>
  <si>
    <t>0.0064</t>
  </si>
  <si>
    <t>NC</t>
  </si>
  <si>
    <t>R5, R6</t>
  </si>
  <si>
    <t>51Ω</t>
  </si>
  <si>
    <t>R7, R20, R26, R32, R82, R85, R87, R109</t>
  </si>
  <si>
    <t>R0402</t>
  </si>
  <si>
    <t>0402WGF510JTCE</t>
  </si>
  <si>
    <t>C25125</t>
  </si>
  <si>
    <t>0.0038</t>
  </si>
  <si>
    <t>10kΩ</t>
  </si>
  <si>
    <t>R8, R12, R13, R16, R18, R23, R38, R39, R40, R67, R68, R69, R86, R96, R99, R104, R110, R112</t>
  </si>
  <si>
    <t>0402WGF1002TCE</t>
  </si>
  <si>
    <t>C25744</t>
  </si>
  <si>
    <t>0.0034</t>
  </si>
  <si>
    <t>1kΩ</t>
  </si>
  <si>
    <t>R9, R28, R29, R49, R106</t>
  </si>
  <si>
    <t>0402WGF1001TCE</t>
  </si>
  <si>
    <t>C11702</t>
  </si>
  <si>
    <t>0.0035</t>
  </si>
  <si>
    <t>4.99kΩ</t>
  </si>
  <si>
    <t>R11, R93, R94, R95</t>
  </si>
  <si>
    <t>0603WAF4991T5E</t>
  </si>
  <si>
    <t>C23046</t>
  </si>
  <si>
    <t>53.6kΩ</t>
  </si>
  <si>
    <t>R14</t>
  </si>
  <si>
    <t>RS-03K5362FT</t>
  </si>
  <si>
    <t>C304765</t>
  </si>
  <si>
    <t>0.0079</t>
  </si>
  <si>
    <t>1Ω</t>
  </si>
  <si>
    <t>R15</t>
  </si>
  <si>
    <t>0603WAF100KT5E</t>
  </si>
  <si>
    <t>C22936</t>
  </si>
  <si>
    <t>0.0102</t>
  </si>
  <si>
    <t>R17, R50, R51, R52, R61, R62, R63</t>
  </si>
  <si>
    <t>0603WAF1002T5E</t>
  </si>
  <si>
    <t>C25804</t>
  </si>
  <si>
    <t>0.0059</t>
  </si>
  <si>
    <t>R19, R21, R24, R25, R27, R30, R89</t>
  </si>
  <si>
    <t>0402WGF100KTCE</t>
  </si>
  <si>
    <t>C25086</t>
  </si>
  <si>
    <t>0.0053</t>
  </si>
  <si>
    <t>KNTC0805/10KF3950</t>
  </si>
  <si>
    <t>R22</t>
  </si>
  <si>
    <t>R0805</t>
  </si>
  <si>
    <t>1K</t>
  </si>
  <si>
    <t>KUU</t>
  </si>
  <si>
    <t>C2892549</t>
  </si>
  <si>
    <t>0.2627</t>
  </si>
  <si>
    <t>4.7kΩ</t>
  </si>
  <si>
    <t>R31</t>
  </si>
  <si>
    <t>0402WGF4701TCE</t>
  </si>
  <si>
    <t>C25900</t>
  </si>
  <si>
    <t>10Ω</t>
  </si>
  <si>
    <t>R33, R34, R36, R41, R42, R44</t>
  </si>
  <si>
    <t>0402WGF100JTCE</t>
  </si>
  <si>
    <t>C25077</t>
  </si>
  <si>
    <t>0.0033</t>
  </si>
  <si>
    <t>R37</t>
  </si>
  <si>
    <t>R45, R46, R47, R56, R57, R58</t>
  </si>
  <si>
    <t>0603WAF100JT5E</t>
  </si>
  <si>
    <t>C22859</t>
  </si>
  <si>
    <t>0.0063</t>
  </si>
  <si>
    <t>0Ω</t>
  </si>
  <si>
    <t>R48, R65, R66, R75, R76, R83, R90</t>
  </si>
  <si>
    <t>0402WGF0000TCE</t>
  </si>
  <si>
    <t>C17168</t>
  </si>
  <si>
    <t>0.0032</t>
  </si>
  <si>
    <t>20mΩ</t>
  </si>
  <si>
    <t>R70, R72, R73</t>
  </si>
  <si>
    <t>RES-SMD_L6.4-W3.2-1</t>
  </si>
  <si>
    <t>LR2512D-3W-20mR-1%</t>
  </si>
  <si>
    <t>Milliohm(毫欧)</t>
  </si>
  <si>
    <t>C500741</t>
  </si>
  <si>
    <t>0.5949</t>
  </si>
  <si>
    <t>4mΩ</t>
  </si>
  <si>
    <t>R88</t>
  </si>
  <si>
    <t>RES-SMD_L6.4-W3.2-R2512</t>
  </si>
  <si>
    <t>HoJLR2512-3W-4mR-1%</t>
  </si>
  <si>
    <t>C2904236</t>
  </si>
  <si>
    <t>0.5093</t>
  </si>
  <si>
    <t>2kΩ</t>
  </si>
  <si>
    <t>R103, R105</t>
  </si>
  <si>
    <t>0402WGF2001TCE</t>
  </si>
  <si>
    <t>C4109</t>
  </si>
  <si>
    <t>5.1kΩ</t>
  </si>
  <si>
    <t>R113, R114</t>
  </si>
  <si>
    <t>0402WGF5101TCE</t>
  </si>
  <si>
    <t>C25905</t>
  </si>
  <si>
    <t>0.0031</t>
  </si>
  <si>
    <t>DRV8301DCAR</t>
  </si>
  <si>
    <t>U1</t>
  </si>
  <si>
    <t>HTSSOP-56_L14.0-W6.0-P0.50-LS8.0-BL</t>
  </si>
  <si>
    <t>TI(德州仪器)</t>
  </si>
  <si>
    <t>C98969</t>
  </si>
  <si>
    <t>19.78</t>
  </si>
  <si>
    <t>STM32F446RET6</t>
  </si>
  <si>
    <t>U2</t>
  </si>
  <si>
    <t>LQFP-64_L10.0-W10.0-P0.50-LS12.0-BL</t>
  </si>
  <si>
    <t>ST(意法半导体)</t>
  </si>
  <si>
    <t>C69336</t>
  </si>
  <si>
    <t>34.54</t>
  </si>
  <si>
    <t>KF7.62-2P</t>
  </si>
  <si>
    <t>U7</t>
  </si>
  <si>
    <t>CONN-TH_KF7.62-2P</t>
  </si>
  <si>
    <t>KEFA(科发)</t>
  </si>
  <si>
    <t>C707824</t>
  </si>
  <si>
    <t>0.6648</t>
  </si>
  <si>
    <t>LM358ADR</t>
  </si>
  <si>
    <t>U8</t>
  </si>
  <si>
    <t>SOP-8_L4.9-W3.9-P1.27-LS6.0-BL</t>
  </si>
  <si>
    <t>UMW(友台半导体)</t>
  </si>
  <si>
    <t>C404320</t>
  </si>
  <si>
    <t>0.3153</t>
  </si>
  <si>
    <t>KF7.62-3P</t>
  </si>
  <si>
    <t>U9</t>
  </si>
  <si>
    <t>CONN-TH_KF7.62-3P</t>
  </si>
  <si>
    <t>C707825</t>
  </si>
  <si>
    <t>0.9925</t>
  </si>
  <si>
    <t>TYPEC-304A-ACP16W</t>
  </si>
  <si>
    <t>USB1</t>
  </si>
  <si>
    <t>USB-C_SMD-TYPE-C-31-M-12</t>
  </si>
  <si>
    <t>XUNPU(讯普)</t>
  </si>
  <si>
    <t>C2909607</t>
  </si>
  <si>
    <t>0.8322</t>
  </si>
  <si>
    <t>32.768kHz</t>
  </si>
  <si>
    <t>Y1</t>
  </si>
  <si>
    <t>FC-135R_L3.2-W1.5</t>
  </si>
  <si>
    <t>Q13FC13500004</t>
  </si>
  <si>
    <t>EPSON(爱普生)</t>
  </si>
  <si>
    <t>C32346</t>
  </si>
  <si>
    <t>1.0939</t>
  </si>
  <si>
    <t>8MHz</t>
  </si>
  <si>
    <t>Y2</t>
  </si>
  <si>
    <t>CRYSTAL-SMD_L5.0-W3.2</t>
  </si>
  <si>
    <t>X50328MSB2GI</t>
  </si>
  <si>
    <t>YXC(扬兴晶振)</t>
  </si>
  <si>
    <t>C115962</t>
  </si>
  <si>
    <t>1.3055</t>
  </si>
  <si>
    <t>Project Title</t>
  </si>
  <si>
    <t>Borard Title</t>
  </si>
  <si>
    <t>DRV8301_1</t>
  </si>
  <si>
    <t>Schematic Title</t>
  </si>
  <si>
    <t>PCB Title</t>
  </si>
  <si>
    <t>PCB1_1</t>
  </si>
  <si>
    <t>Variant Name</t>
  </si>
  <si>
    <t>Total Quantity</t>
  </si>
  <si>
    <t>Report Time</t>
  </si>
  <si>
    <t>1:0:57</t>
  </si>
  <si>
    <t>Report Date</t>
  </si>
  <si>
    <t>2025年11月21日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</si>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</sst>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/>
    <xf numFmtId="0" fontId="2" fillId="0" borderId="0" xfId="0" applyFont="1"/>
    <xf numFmtId="0" fontId="1" fillId="0" borderId="3" xfId="0" applyFont="1" applyBorder="1"/>
    <xf numFmtId="0" fontId="1" fillId="2" borderId="1" xfId="0" applyFont="1" applyFill="1" applyBorder="1"/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/>
    <xf numFmtId="176" fontId="1" fillId="3" borderId="1" xfId="0" applyNumberFormat="1" applyFont="1" applyFill="1" applyBorder="1"/>
    <xf numFmtId="176" fontId="1" fillId="0" borderId="1" xfId="0" applyNumberFormat="1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98376</xdr:colOff>
      <xdr:row>4</xdr:row>
      <xdr:rowOff>105091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7485" y="139065"/>
          <a:ext cx="4845050" cy="689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0"/>
  <sheetViews>
    <sheetView showGridLines="0" tabSelected="1" zoomScale="85" zoomScaleNormal="85" workbookViewId="0">
      <selection activeCell="D20" sqref="D20"/>
    </sheetView>
  </sheetViews>
  <sheetFormatPr defaultColWidth="9" defaultRowHeight="14.25" customHeight="1"/>
  <cols>
    <col min="1" max="1" width="16.25" customWidth="1"/>
    <col min="2" max="2" width="17.125" customWidth="1"/>
    <col min="3" max="3" width="31.5166666666667" customWidth="1"/>
    <col min="4" max="4" width="97.3916666666667" customWidth="1"/>
    <col min="5" max="5" width="31.5" customWidth="1"/>
    <col min="6" max="6" width="20.5" customWidth="1"/>
    <col min="7" max="7" width="31.75" customWidth="1"/>
    <col min="8" max="8" width="27.875" customWidth="1"/>
    <col min="9" max="9" width="17" customWidth="1"/>
    <col min="10" max="10" width="14.375" customWidth="1"/>
    <col min="11" max="11" width="10.25" customWidth="1"/>
  </cols>
  <sheetData>
    <row r="1" customHeight="1" spans="1:12">
      <c r="A1" s="2" t="s">
        <v>0</v>
      </c>
      <c r="B1" s="2"/>
      <c r="C1" s="2"/>
      <c r="D1" s="2"/>
      <c r="E1" s="3" t="s">
        <v>1</v>
      </c>
      <c r="F1" s="3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4" t="s">
        <v>0</v>
      </c>
    </row>
    <row r="2" customHeight="1" spans="1:12">
      <c r="A2" s="2"/>
      <c r="B2" s="2"/>
      <c r="C2" s="2"/>
      <c r="D2" s="2"/>
      <c r="E2" s="3"/>
      <c r="F2" s="3"/>
      <c r="G2" t="s">
        <v>0</v>
      </c>
      <c r="H2" t="s">
        <v>0</v>
      </c>
      <c r="I2" t="s">
        <v>0</v>
      </c>
      <c r="J2" t="s">
        <v>0</v>
      </c>
      <c r="K2" t="s">
        <v>0</v>
      </c>
      <c r="L2" s="4" t="s">
        <v>0</v>
      </c>
    </row>
    <row r="3" customHeight="1" spans="1:12">
      <c r="A3" s="2"/>
      <c r="B3" s="2"/>
      <c r="C3" s="2"/>
      <c r="D3" s="2"/>
      <c r="E3" s="5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4" t="s">
        <v>0</v>
      </c>
    </row>
    <row r="4" customHeight="1" spans="1:12">
      <c r="A4" s="2"/>
      <c r="B4" s="2"/>
      <c r="C4" s="2"/>
      <c r="D4" s="2"/>
      <c r="E4" s="5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4" t="s">
        <v>0</v>
      </c>
    </row>
    <row r="5" customHeight="1" spans="1:12">
      <c r="A5" s="2"/>
      <c r="B5" s="2"/>
      <c r="C5" s="2"/>
      <c r="D5" s="2"/>
      <c r="E5" s="5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6" t="s">
        <v>0</v>
      </c>
    </row>
    <row r="6" customHeight="1" spans="1:12">
      <c r="A6" s="1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customHeight="1" spans="1:12">
      <c r="A7" s="8">
        <f t="shared" ref="A7:A70" si="0">ROW()-6</f>
        <v>1</v>
      </c>
      <c r="B7" s="9">
        <v>4</v>
      </c>
      <c r="C7" s="9" t="s">
        <v>21</v>
      </c>
      <c r="D7" s="9" t="s">
        <v>22</v>
      </c>
      <c r="E7" s="9" t="s">
        <v>23</v>
      </c>
      <c r="F7" s="9" t="s">
        <v>0</v>
      </c>
      <c r="G7" s="9" t="s">
        <v>21</v>
      </c>
      <c r="H7" s="9" t="s">
        <v>24</v>
      </c>
      <c r="I7" s="9" t="s">
        <v>25</v>
      </c>
      <c r="J7" s="9" t="s">
        <v>26</v>
      </c>
      <c r="K7" s="9" t="s">
        <v>27</v>
      </c>
      <c r="L7" s="10">
        <f t="shared" ref="L7:L69" si="1">B7*K7</f>
        <v>0.494</v>
      </c>
    </row>
    <row r="8" customHeight="1" spans="1:12">
      <c r="A8" s="8">
        <f t="shared" si="0"/>
        <v>2</v>
      </c>
      <c r="B8" s="9">
        <v>1</v>
      </c>
      <c r="C8" s="9" t="s">
        <v>28</v>
      </c>
      <c r="D8" s="9" t="s">
        <v>29</v>
      </c>
      <c r="E8" s="9" t="s">
        <v>30</v>
      </c>
      <c r="F8" s="9" t="s">
        <v>0</v>
      </c>
      <c r="G8" s="9" t="s">
        <v>28</v>
      </c>
      <c r="H8" s="9" t="s">
        <v>31</v>
      </c>
      <c r="I8" s="9" t="s">
        <v>32</v>
      </c>
      <c r="J8" s="9" t="s">
        <v>26</v>
      </c>
      <c r="K8" s="9" t="s">
        <v>33</v>
      </c>
      <c r="L8" s="10">
        <f t="shared" si="1"/>
        <v>1.0589</v>
      </c>
    </row>
    <row r="9" customHeight="1" spans="1:12">
      <c r="A9" s="8">
        <f t="shared" si="0"/>
        <v>3</v>
      </c>
      <c r="B9" s="9">
        <v>24</v>
      </c>
      <c r="C9" s="9" t="s">
        <v>34</v>
      </c>
      <c r="D9" s="9" t="s">
        <v>35</v>
      </c>
      <c r="E9" s="9" t="s">
        <v>36</v>
      </c>
      <c r="F9" s="9" t="s">
        <v>0</v>
      </c>
      <c r="G9" s="9" t="s">
        <v>34</v>
      </c>
      <c r="H9" s="9" t="s">
        <v>37</v>
      </c>
      <c r="I9" s="9" t="s">
        <v>38</v>
      </c>
      <c r="J9" s="9" t="s">
        <v>26</v>
      </c>
      <c r="K9" s="9" t="s">
        <v>39</v>
      </c>
      <c r="L9" s="10">
        <f t="shared" si="1"/>
        <v>11.5704</v>
      </c>
    </row>
    <row r="10" customHeight="1" spans="1:12">
      <c r="A10" s="8">
        <f t="shared" si="0"/>
        <v>4</v>
      </c>
      <c r="B10" s="9">
        <v>1</v>
      </c>
      <c r="C10" s="9" t="s">
        <v>40</v>
      </c>
      <c r="D10" s="9" t="s">
        <v>41</v>
      </c>
      <c r="E10" s="9" t="s">
        <v>42</v>
      </c>
      <c r="F10" s="9" t="s">
        <v>40</v>
      </c>
      <c r="G10" s="9" t="s">
        <v>43</v>
      </c>
      <c r="H10" s="9" t="s">
        <v>44</v>
      </c>
      <c r="I10" s="9" t="s">
        <v>45</v>
      </c>
      <c r="J10" s="9" t="s">
        <v>26</v>
      </c>
      <c r="K10" s="9" t="s">
        <v>46</v>
      </c>
      <c r="L10" s="10">
        <f t="shared" si="1"/>
        <v>0.019</v>
      </c>
    </row>
    <row r="11" customHeight="1" spans="1:12">
      <c r="A11" s="8">
        <f t="shared" si="0"/>
        <v>5</v>
      </c>
      <c r="B11" s="9">
        <v>5</v>
      </c>
      <c r="C11" s="9" t="s">
        <v>47</v>
      </c>
      <c r="D11" s="9" t="s">
        <v>48</v>
      </c>
      <c r="E11" s="9" t="s">
        <v>49</v>
      </c>
      <c r="F11" s="9" t="s">
        <v>47</v>
      </c>
      <c r="G11" s="9" t="s">
        <v>50</v>
      </c>
      <c r="H11" s="9" t="s">
        <v>51</v>
      </c>
      <c r="I11" s="9" t="s">
        <v>52</v>
      </c>
      <c r="J11" s="9" t="s">
        <v>26</v>
      </c>
      <c r="K11" s="9" t="s">
        <v>53</v>
      </c>
      <c r="L11" s="10">
        <f t="shared" si="1"/>
        <v>0.522</v>
      </c>
    </row>
    <row r="12" customHeight="1" spans="1:12">
      <c r="A12" s="8">
        <f t="shared" si="0"/>
        <v>6</v>
      </c>
      <c r="B12" s="9">
        <v>7</v>
      </c>
      <c r="C12" s="9" t="s">
        <v>54</v>
      </c>
      <c r="D12" s="9" t="s">
        <v>55</v>
      </c>
      <c r="E12" s="9" t="s">
        <v>49</v>
      </c>
      <c r="F12" s="9" t="s">
        <v>54</v>
      </c>
      <c r="G12" s="9" t="s">
        <v>56</v>
      </c>
      <c r="H12" s="9" t="s">
        <v>57</v>
      </c>
      <c r="I12" s="9" t="s">
        <v>58</v>
      </c>
      <c r="J12" s="9" t="s">
        <v>26</v>
      </c>
      <c r="K12" s="9" t="s">
        <v>59</v>
      </c>
      <c r="L12" s="10">
        <f t="shared" si="1"/>
        <v>0.1995</v>
      </c>
    </row>
    <row r="13" customHeight="1" spans="1:12">
      <c r="A13" s="8">
        <f t="shared" si="0"/>
        <v>7</v>
      </c>
      <c r="B13" s="9">
        <v>1</v>
      </c>
      <c r="C13" s="9" t="s">
        <v>60</v>
      </c>
      <c r="D13" s="9" t="s">
        <v>61</v>
      </c>
      <c r="E13" s="9" t="s">
        <v>42</v>
      </c>
      <c r="F13" s="9" t="s">
        <v>60</v>
      </c>
      <c r="G13" s="9" t="s">
        <v>62</v>
      </c>
      <c r="H13" s="9" t="s">
        <v>44</v>
      </c>
      <c r="I13" s="9" t="s">
        <v>63</v>
      </c>
      <c r="J13" s="9" t="s">
        <v>26</v>
      </c>
      <c r="K13" s="9" t="s">
        <v>64</v>
      </c>
      <c r="L13" s="10">
        <f t="shared" si="1"/>
        <v>0.0268</v>
      </c>
    </row>
    <row r="14" customHeight="1" spans="1:12">
      <c r="A14" s="8">
        <f t="shared" si="0"/>
        <v>8</v>
      </c>
      <c r="B14" s="9">
        <v>1</v>
      </c>
      <c r="C14" s="9" t="s">
        <v>65</v>
      </c>
      <c r="D14" s="9" t="s">
        <v>66</v>
      </c>
      <c r="E14" s="9" t="s">
        <v>42</v>
      </c>
      <c r="F14" s="9" t="s">
        <v>65</v>
      </c>
      <c r="G14" s="9" t="s">
        <v>67</v>
      </c>
      <c r="H14" s="9" t="s">
        <v>44</v>
      </c>
      <c r="I14" s="9" t="s">
        <v>68</v>
      </c>
      <c r="J14" s="9" t="s">
        <v>26</v>
      </c>
      <c r="K14" s="9" t="s">
        <v>69</v>
      </c>
      <c r="L14" s="10">
        <f t="shared" si="1"/>
        <v>0.018</v>
      </c>
    </row>
    <row r="15" customHeight="1" spans="1:12">
      <c r="A15" s="8">
        <f t="shared" si="0"/>
        <v>9</v>
      </c>
      <c r="B15" s="9">
        <v>16</v>
      </c>
      <c r="C15" s="9" t="s">
        <v>54</v>
      </c>
      <c r="D15" s="9" t="s">
        <v>70</v>
      </c>
      <c r="E15" s="9" t="s">
        <v>71</v>
      </c>
      <c r="F15" s="9" t="s">
        <v>54</v>
      </c>
      <c r="G15" s="9" t="s">
        <v>72</v>
      </c>
      <c r="H15" s="9" t="s">
        <v>51</v>
      </c>
      <c r="I15" s="9" t="s">
        <v>73</v>
      </c>
      <c r="J15" s="9" t="s">
        <v>26</v>
      </c>
      <c r="K15" s="9" t="s">
        <v>74</v>
      </c>
      <c r="L15" s="10">
        <f t="shared" si="1"/>
        <v>0.384</v>
      </c>
    </row>
    <row r="16" customHeight="1" spans="1:12">
      <c r="A16" s="8">
        <f t="shared" si="0"/>
        <v>10</v>
      </c>
      <c r="B16" s="9">
        <v>8</v>
      </c>
      <c r="C16" s="9" t="s">
        <v>75</v>
      </c>
      <c r="D16" s="9" t="s">
        <v>76</v>
      </c>
      <c r="E16" s="9" t="s">
        <v>71</v>
      </c>
      <c r="F16" s="9" t="s">
        <v>75</v>
      </c>
      <c r="G16" s="9" t="s">
        <v>77</v>
      </c>
      <c r="H16" s="9" t="s">
        <v>44</v>
      </c>
      <c r="I16" s="9" t="s">
        <v>78</v>
      </c>
      <c r="J16" s="9" t="s">
        <v>26</v>
      </c>
      <c r="K16" s="9" t="s">
        <v>79</v>
      </c>
      <c r="L16" s="10">
        <f t="shared" si="1"/>
        <v>0.056</v>
      </c>
    </row>
    <row r="17" customHeight="1" spans="1:12">
      <c r="A17" s="8">
        <f t="shared" si="0"/>
        <v>11</v>
      </c>
      <c r="B17" s="9">
        <v>2</v>
      </c>
      <c r="C17" s="9" t="s">
        <v>80</v>
      </c>
      <c r="D17" s="9" t="s">
        <v>81</v>
      </c>
      <c r="E17" s="9" t="s">
        <v>82</v>
      </c>
      <c r="F17" s="9" t="s">
        <v>80</v>
      </c>
      <c r="G17" s="9" t="s">
        <v>83</v>
      </c>
      <c r="H17" s="9" t="s">
        <v>51</v>
      </c>
      <c r="I17" s="9" t="s">
        <v>84</v>
      </c>
      <c r="J17" s="9" t="s">
        <v>26</v>
      </c>
      <c r="K17" s="9" t="s">
        <v>85</v>
      </c>
      <c r="L17" s="10">
        <f t="shared" si="1"/>
        <v>0.9076</v>
      </c>
    </row>
    <row r="18" customHeight="1" spans="1:12">
      <c r="A18" s="8">
        <f t="shared" si="0"/>
        <v>12</v>
      </c>
      <c r="B18" s="9">
        <v>1</v>
      </c>
      <c r="C18" s="9" t="s">
        <v>86</v>
      </c>
      <c r="D18" s="9" t="s">
        <v>87</v>
      </c>
      <c r="E18" s="9" t="s">
        <v>42</v>
      </c>
      <c r="F18" s="9" t="s">
        <v>86</v>
      </c>
      <c r="G18" s="9" t="s">
        <v>88</v>
      </c>
      <c r="H18" s="9" t="s">
        <v>51</v>
      </c>
      <c r="I18" s="9" t="s">
        <v>89</v>
      </c>
      <c r="J18" s="9" t="s">
        <v>26</v>
      </c>
      <c r="K18" s="9" t="s">
        <v>90</v>
      </c>
      <c r="L18" s="10">
        <f t="shared" si="1"/>
        <v>0.0311</v>
      </c>
    </row>
    <row r="19" customHeight="1" spans="1:12">
      <c r="A19" s="8">
        <f t="shared" si="0"/>
        <v>13</v>
      </c>
      <c r="B19" s="9">
        <v>1</v>
      </c>
      <c r="C19" s="9" t="s">
        <v>91</v>
      </c>
      <c r="D19" s="9" t="s">
        <v>92</v>
      </c>
      <c r="E19" s="9" t="s">
        <v>71</v>
      </c>
      <c r="F19" s="9" t="s">
        <v>91</v>
      </c>
      <c r="G19" s="9" t="s">
        <v>93</v>
      </c>
      <c r="H19" s="9" t="s">
        <v>44</v>
      </c>
      <c r="I19" s="9" t="s">
        <v>94</v>
      </c>
      <c r="J19" s="9" t="s">
        <v>26</v>
      </c>
      <c r="K19" s="9" t="s">
        <v>95</v>
      </c>
      <c r="L19" s="10">
        <f t="shared" si="1"/>
        <v>0.011</v>
      </c>
    </row>
    <row r="20" customHeight="1" spans="1:12">
      <c r="A20" s="8">
        <f t="shared" si="0"/>
        <v>14</v>
      </c>
      <c r="B20" s="9">
        <v>2</v>
      </c>
      <c r="C20" s="9" t="s">
        <v>96</v>
      </c>
      <c r="D20" s="9" t="s">
        <v>97</v>
      </c>
      <c r="E20" s="9" t="s">
        <v>71</v>
      </c>
      <c r="F20" s="9" t="s">
        <v>96</v>
      </c>
      <c r="G20" s="9" t="s">
        <v>98</v>
      </c>
      <c r="H20" s="9" t="s">
        <v>44</v>
      </c>
      <c r="I20" s="9" t="s">
        <v>99</v>
      </c>
      <c r="J20" s="9" t="s">
        <v>26</v>
      </c>
      <c r="K20" s="9" t="s">
        <v>100</v>
      </c>
      <c r="L20" s="10">
        <f t="shared" si="1"/>
        <v>0.0136</v>
      </c>
    </row>
    <row r="21" customHeight="1" spans="1:12">
      <c r="A21" s="8">
        <f t="shared" si="0"/>
        <v>15</v>
      </c>
      <c r="B21" s="9">
        <v>5</v>
      </c>
      <c r="C21" s="9" t="s">
        <v>101</v>
      </c>
      <c r="D21" s="9" t="s">
        <v>102</v>
      </c>
      <c r="E21" s="9" t="s">
        <v>71</v>
      </c>
      <c r="F21" s="9" t="s">
        <v>101</v>
      </c>
      <c r="G21" s="9" t="s">
        <v>103</v>
      </c>
      <c r="H21" s="9" t="s">
        <v>44</v>
      </c>
      <c r="I21" s="9" t="s">
        <v>104</v>
      </c>
      <c r="J21" s="9" t="s">
        <v>26</v>
      </c>
      <c r="K21" s="9" t="s">
        <v>105</v>
      </c>
      <c r="L21" s="10">
        <f t="shared" si="1"/>
        <v>0.033</v>
      </c>
    </row>
    <row r="22" customHeight="1" spans="1:12">
      <c r="A22" s="8">
        <f t="shared" si="0"/>
        <v>16</v>
      </c>
      <c r="B22" s="9">
        <v>2</v>
      </c>
      <c r="C22" s="9" t="s">
        <v>86</v>
      </c>
      <c r="D22" s="9" t="s">
        <v>106</v>
      </c>
      <c r="E22" s="9" t="s">
        <v>71</v>
      </c>
      <c r="F22" s="9" t="s">
        <v>86</v>
      </c>
      <c r="G22" s="9" t="s">
        <v>107</v>
      </c>
      <c r="H22" s="9" t="s">
        <v>51</v>
      </c>
      <c r="I22" s="9" t="s">
        <v>108</v>
      </c>
      <c r="J22" s="9" t="s">
        <v>26</v>
      </c>
      <c r="K22" s="9" t="s">
        <v>46</v>
      </c>
      <c r="L22" s="10">
        <f t="shared" si="1"/>
        <v>0.038</v>
      </c>
    </row>
    <row r="23" customHeight="1" spans="1:12">
      <c r="A23" s="8">
        <f t="shared" si="0"/>
        <v>17</v>
      </c>
      <c r="B23" s="9">
        <v>1</v>
      </c>
      <c r="C23" s="9" t="s">
        <v>109</v>
      </c>
      <c r="D23" s="9" t="s">
        <v>110</v>
      </c>
      <c r="E23" s="9" t="s">
        <v>71</v>
      </c>
      <c r="F23" s="9" t="s">
        <v>109</v>
      </c>
      <c r="G23" s="9" t="s">
        <v>111</v>
      </c>
      <c r="H23" s="9" t="s">
        <v>51</v>
      </c>
      <c r="I23" s="9" t="s">
        <v>112</v>
      </c>
      <c r="J23" s="9" t="s">
        <v>26</v>
      </c>
      <c r="K23" s="9" t="s">
        <v>113</v>
      </c>
      <c r="L23" s="10">
        <f t="shared" si="1"/>
        <v>0.0307</v>
      </c>
    </row>
    <row r="24" customHeight="1" spans="1:12">
      <c r="A24" s="8">
        <f t="shared" si="0"/>
        <v>18</v>
      </c>
      <c r="B24" s="9">
        <v>3</v>
      </c>
      <c r="C24" s="9" t="s">
        <v>114</v>
      </c>
      <c r="D24" s="9" t="s">
        <v>115</v>
      </c>
      <c r="E24" s="9" t="s">
        <v>71</v>
      </c>
      <c r="F24" s="9" t="s">
        <v>114</v>
      </c>
      <c r="G24" s="9" t="s">
        <v>116</v>
      </c>
      <c r="H24" s="9" t="s">
        <v>44</v>
      </c>
      <c r="I24" s="9" t="s">
        <v>117</v>
      </c>
      <c r="J24" s="9" t="s">
        <v>26</v>
      </c>
      <c r="K24" s="9" t="s">
        <v>118</v>
      </c>
      <c r="L24" s="10">
        <f t="shared" si="1"/>
        <v>0.0207</v>
      </c>
    </row>
    <row r="25" customHeight="1" spans="1:12">
      <c r="A25" s="8">
        <f t="shared" si="0"/>
        <v>19</v>
      </c>
      <c r="B25" s="9">
        <v>1</v>
      </c>
      <c r="C25" s="9" t="s">
        <v>47</v>
      </c>
      <c r="D25" s="9" t="s">
        <v>119</v>
      </c>
      <c r="E25" s="9" t="s">
        <v>42</v>
      </c>
      <c r="F25" s="9" t="s">
        <v>47</v>
      </c>
      <c r="G25" s="9" t="s">
        <v>120</v>
      </c>
      <c r="H25" s="9" t="s">
        <v>51</v>
      </c>
      <c r="I25" s="9" t="s">
        <v>121</v>
      </c>
      <c r="J25" s="9" t="s">
        <v>26</v>
      </c>
      <c r="K25" s="9" t="s">
        <v>122</v>
      </c>
      <c r="L25" s="10">
        <f t="shared" si="1"/>
        <v>0.0358</v>
      </c>
    </row>
    <row r="26" customHeight="1" spans="1:12">
      <c r="A26" s="8">
        <f t="shared" si="0"/>
        <v>20</v>
      </c>
      <c r="B26" s="9">
        <v>1</v>
      </c>
      <c r="C26" s="9" t="s">
        <v>123</v>
      </c>
      <c r="D26" s="9" t="s">
        <v>124</v>
      </c>
      <c r="E26" s="9" t="s">
        <v>125</v>
      </c>
      <c r="F26" s="9" t="s">
        <v>123</v>
      </c>
      <c r="G26" s="9" t="s">
        <v>126</v>
      </c>
      <c r="H26" s="9" t="s">
        <v>127</v>
      </c>
      <c r="I26" s="9" t="s">
        <v>128</v>
      </c>
      <c r="J26" s="9" t="s">
        <v>26</v>
      </c>
      <c r="K26" s="9" t="s">
        <v>129</v>
      </c>
      <c r="L26" s="10">
        <f t="shared" si="1"/>
        <v>0.2486</v>
      </c>
    </row>
    <row r="27" customHeight="1" spans="1:12">
      <c r="A27" s="8">
        <f t="shared" si="0"/>
        <v>21</v>
      </c>
      <c r="B27" s="9">
        <v>2</v>
      </c>
      <c r="C27" s="9" t="s">
        <v>130</v>
      </c>
      <c r="D27" s="9" t="s">
        <v>131</v>
      </c>
      <c r="E27" s="9" t="s">
        <v>132</v>
      </c>
      <c r="F27" s="9" t="s">
        <v>130</v>
      </c>
      <c r="G27" s="9" t="s">
        <v>133</v>
      </c>
      <c r="H27" s="9" t="s">
        <v>134</v>
      </c>
      <c r="I27" s="9" t="s">
        <v>135</v>
      </c>
      <c r="J27" s="9" t="s">
        <v>26</v>
      </c>
      <c r="K27" s="9" t="s">
        <v>136</v>
      </c>
      <c r="L27" s="10">
        <f t="shared" si="1"/>
        <v>2.6044</v>
      </c>
    </row>
    <row r="28" customHeight="1" spans="1:12">
      <c r="A28" s="8">
        <f t="shared" si="0"/>
        <v>22</v>
      </c>
      <c r="B28" s="9">
        <v>1</v>
      </c>
      <c r="C28" s="9" t="s">
        <v>137</v>
      </c>
      <c r="D28" s="9" t="s">
        <v>138</v>
      </c>
      <c r="E28" s="9" t="s">
        <v>139</v>
      </c>
      <c r="F28" s="9" t="s">
        <v>0</v>
      </c>
      <c r="G28" s="9" t="s">
        <v>137</v>
      </c>
      <c r="H28" s="9" t="s">
        <v>140</v>
      </c>
      <c r="I28" s="9" t="s">
        <v>141</v>
      </c>
      <c r="J28" s="9" t="s">
        <v>26</v>
      </c>
      <c r="K28" s="9" t="s">
        <v>142</v>
      </c>
      <c r="L28" s="10">
        <f t="shared" si="1"/>
        <v>0.1663</v>
      </c>
    </row>
    <row r="29" customHeight="1" spans="1:12">
      <c r="A29" s="8">
        <f t="shared" si="0"/>
        <v>23</v>
      </c>
      <c r="B29" s="9">
        <v>2</v>
      </c>
      <c r="C29" s="9" t="s">
        <v>143</v>
      </c>
      <c r="D29" s="9" t="s">
        <v>144</v>
      </c>
      <c r="E29" s="9" t="s">
        <v>145</v>
      </c>
      <c r="F29" s="9" t="s">
        <v>0</v>
      </c>
      <c r="G29" s="9" t="s">
        <v>143</v>
      </c>
      <c r="H29" s="9" t="s">
        <v>146</v>
      </c>
      <c r="I29" s="9" t="s">
        <v>147</v>
      </c>
      <c r="J29" s="9" t="s">
        <v>26</v>
      </c>
      <c r="K29" s="9" t="s">
        <v>148</v>
      </c>
      <c r="L29" s="10">
        <f t="shared" si="1"/>
        <v>0.4996</v>
      </c>
    </row>
    <row r="30" customHeight="1" spans="1:12">
      <c r="A30" s="8">
        <f t="shared" si="0"/>
        <v>24</v>
      </c>
      <c r="B30" s="9">
        <v>2</v>
      </c>
      <c r="C30" s="9" t="s">
        <v>149</v>
      </c>
      <c r="D30" s="9" t="s">
        <v>150</v>
      </c>
      <c r="E30" s="9" t="s">
        <v>151</v>
      </c>
      <c r="F30" s="9" t="s">
        <v>0</v>
      </c>
      <c r="G30" s="9" t="s">
        <v>149</v>
      </c>
      <c r="H30" s="9" t="s">
        <v>152</v>
      </c>
      <c r="I30" s="9" t="s">
        <v>153</v>
      </c>
      <c r="J30" s="9" t="s">
        <v>26</v>
      </c>
      <c r="K30" s="9" t="s">
        <v>154</v>
      </c>
      <c r="L30" s="10">
        <f t="shared" si="1"/>
        <v>0.2656</v>
      </c>
    </row>
    <row r="31" customHeight="1" spans="1:12">
      <c r="A31" s="8">
        <f t="shared" si="0"/>
        <v>25</v>
      </c>
      <c r="B31" s="9">
        <v>1</v>
      </c>
      <c r="C31" s="9" t="s">
        <v>155</v>
      </c>
      <c r="D31" s="9" t="s">
        <v>156</v>
      </c>
      <c r="E31" s="9" t="s">
        <v>157</v>
      </c>
      <c r="F31" s="9" t="s">
        <v>0</v>
      </c>
      <c r="G31" s="9" t="s">
        <v>155</v>
      </c>
      <c r="H31" s="9" t="s">
        <v>158</v>
      </c>
      <c r="I31" s="9" t="s">
        <v>159</v>
      </c>
      <c r="J31" s="9" t="s">
        <v>26</v>
      </c>
      <c r="K31" s="9" t="s">
        <v>160</v>
      </c>
      <c r="L31" s="10">
        <f t="shared" si="1"/>
        <v>0.1485</v>
      </c>
    </row>
    <row r="32" customHeight="1" spans="1:12">
      <c r="A32" s="8">
        <f t="shared" si="0"/>
        <v>26</v>
      </c>
      <c r="B32" s="9">
        <v>1</v>
      </c>
      <c r="C32" s="9" t="s">
        <v>161</v>
      </c>
      <c r="D32" s="9" t="s">
        <v>162</v>
      </c>
      <c r="E32" s="9" t="s">
        <v>163</v>
      </c>
      <c r="F32" s="9" t="s">
        <v>0</v>
      </c>
      <c r="G32" s="9" t="s">
        <v>161</v>
      </c>
      <c r="H32" s="9" t="s">
        <v>164</v>
      </c>
      <c r="I32" s="9" t="s">
        <v>165</v>
      </c>
      <c r="J32" s="9" t="s">
        <v>26</v>
      </c>
      <c r="K32" s="9" t="s">
        <v>166</v>
      </c>
      <c r="L32" s="10">
        <f t="shared" si="1"/>
        <v>0.0679</v>
      </c>
    </row>
    <row r="33" customHeight="1" spans="1:12">
      <c r="A33" s="8">
        <f t="shared" si="0"/>
        <v>27</v>
      </c>
      <c r="B33" s="9">
        <v>1</v>
      </c>
      <c r="C33" s="9" t="s">
        <v>167</v>
      </c>
      <c r="D33" s="9" t="s">
        <v>168</v>
      </c>
      <c r="E33" s="9" t="s">
        <v>163</v>
      </c>
      <c r="F33" s="9" t="s">
        <v>0</v>
      </c>
      <c r="G33" s="9" t="s">
        <v>167</v>
      </c>
      <c r="H33" s="9" t="s">
        <v>164</v>
      </c>
      <c r="I33" s="9" t="s">
        <v>169</v>
      </c>
      <c r="J33" s="9" t="s">
        <v>26</v>
      </c>
      <c r="K33" s="9" t="s">
        <v>170</v>
      </c>
      <c r="L33" s="10">
        <f t="shared" si="1"/>
        <v>0.0372</v>
      </c>
    </row>
    <row r="34" customHeight="1" spans="1:12">
      <c r="A34" s="8">
        <f t="shared" si="0"/>
        <v>28</v>
      </c>
      <c r="B34" s="9">
        <v>1</v>
      </c>
      <c r="C34" s="9" t="s">
        <v>171</v>
      </c>
      <c r="D34" s="9" t="s">
        <v>172</v>
      </c>
      <c r="E34" s="9" t="s">
        <v>173</v>
      </c>
      <c r="F34" s="9" t="s">
        <v>0</v>
      </c>
      <c r="G34" s="9" t="s">
        <v>171</v>
      </c>
      <c r="H34" s="9" t="s">
        <v>174</v>
      </c>
      <c r="I34" s="9" t="s">
        <v>175</v>
      </c>
      <c r="J34" s="9" t="s">
        <v>26</v>
      </c>
      <c r="K34" s="9" t="s">
        <v>176</v>
      </c>
      <c r="L34" s="10">
        <f t="shared" si="1"/>
        <v>0.4157</v>
      </c>
    </row>
    <row r="35" customHeight="1" spans="1:12">
      <c r="A35" s="8">
        <f t="shared" si="0"/>
        <v>29</v>
      </c>
      <c r="B35" s="9">
        <v>1</v>
      </c>
      <c r="C35" s="9" t="s">
        <v>177</v>
      </c>
      <c r="D35" s="9" t="s">
        <v>178</v>
      </c>
      <c r="E35" s="9" t="s">
        <v>179</v>
      </c>
      <c r="F35" s="9" t="s">
        <v>0</v>
      </c>
      <c r="G35" s="9" t="s">
        <v>0</v>
      </c>
      <c r="H35" s="9" t="s">
        <v>0</v>
      </c>
      <c r="I35" s="9" t="s">
        <v>180</v>
      </c>
      <c r="J35" s="9" t="s">
        <v>0</v>
      </c>
      <c r="K35" s="9" t="s">
        <v>181</v>
      </c>
      <c r="L35" s="10">
        <f t="shared" si="1"/>
        <v>0.2508</v>
      </c>
    </row>
    <row r="36" customHeight="1" spans="1:12">
      <c r="A36" s="8">
        <f t="shared" si="0"/>
        <v>30</v>
      </c>
      <c r="B36" s="9">
        <v>1</v>
      </c>
      <c r="C36" s="9" t="s">
        <v>182</v>
      </c>
      <c r="D36" s="9" t="s">
        <v>183</v>
      </c>
      <c r="E36" s="9" t="s">
        <v>184</v>
      </c>
      <c r="F36" s="9" t="s">
        <v>182</v>
      </c>
      <c r="G36" s="9" t="s">
        <v>185</v>
      </c>
      <c r="H36" s="9" t="s">
        <v>186</v>
      </c>
      <c r="I36" s="9" t="s">
        <v>187</v>
      </c>
      <c r="J36" s="9" t="s">
        <v>26</v>
      </c>
      <c r="K36" s="9" t="s">
        <v>188</v>
      </c>
      <c r="L36" s="10">
        <f t="shared" si="1"/>
        <v>0.4206</v>
      </c>
    </row>
    <row r="37" customHeight="1" spans="1:12">
      <c r="A37" s="8">
        <f t="shared" si="0"/>
        <v>31</v>
      </c>
      <c r="B37" s="9">
        <v>2</v>
      </c>
      <c r="C37" s="9" t="s">
        <v>189</v>
      </c>
      <c r="D37" s="9" t="s">
        <v>190</v>
      </c>
      <c r="E37" s="9" t="s">
        <v>191</v>
      </c>
      <c r="F37" s="9" t="s">
        <v>192</v>
      </c>
      <c r="G37" s="9" t="s">
        <v>189</v>
      </c>
      <c r="H37" s="9" t="s">
        <v>193</v>
      </c>
      <c r="I37" s="9" t="s">
        <v>194</v>
      </c>
      <c r="J37" s="9" t="s">
        <v>26</v>
      </c>
      <c r="K37" s="9" t="s">
        <v>195</v>
      </c>
      <c r="L37" s="10">
        <f t="shared" si="1"/>
        <v>0.088</v>
      </c>
    </row>
    <row r="38" customHeight="1" spans="1:12">
      <c r="A38" s="8">
        <f t="shared" si="0"/>
        <v>32</v>
      </c>
      <c r="B38" s="9">
        <v>3</v>
      </c>
      <c r="C38" s="9" t="s">
        <v>196</v>
      </c>
      <c r="D38" s="9" t="s">
        <v>197</v>
      </c>
      <c r="E38" s="9" t="s">
        <v>198</v>
      </c>
      <c r="F38" s="9" t="s">
        <v>0</v>
      </c>
      <c r="G38" s="9" t="s">
        <v>196</v>
      </c>
      <c r="H38" s="9" t="s">
        <v>199</v>
      </c>
      <c r="I38" s="9" t="s">
        <v>200</v>
      </c>
      <c r="J38" s="9" t="s">
        <v>26</v>
      </c>
      <c r="K38" s="9" t="s">
        <v>201</v>
      </c>
      <c r="L38" s="10">
        <f t="shared" si="1"/>
        <v>1.1091</v>
      </c>
    </row>
    <row r="39" customHeight="1" spans="1:12">
      <c r="A39" s="8">
        <f t="shared" si="0"/>
        <v>33</v>
      </c>
      <c r="B39" s="9">
        <v>6</v>
      </c>
      <c r="C39" s="9" t="s">
        <v>202</v>
      </c>
      <c r="D39" s="9" t="s">
        <v>203</v>
      </c>
      <c r="E39" s="9" t="s">
        <v>204</v>
      </c>
      <c r="F39" s="9" t="s">
        <v>0</v>
      </c>
      <c r="G39" s="9" t="s">
        <v>202</v>
      </c>
      <c r="H39" s="9" t="s">
        <v>205</v>
      </c>
      <c r="I39" s="9" t="s">
        <v>206</v>
      </c>
      <c r="J39" s="9" t="s">
        <v>26</v>
      </c>
      <c r="K39" s="9" t="s">
        <v>207</v>
      </c>
      <c r="L39" s="10">
        <f t="shared" si="1"/>
        <v>16.68</v>
      </c>
    </row>
    <row r="40" customHeight="1" spans="1:12">
      <c r="A40" s="8">
        <f t="shared" si="0"/>
        <v>34</v>
      </c>
      <c r="B40" s="9">
        <v>4</v>
      </c>
      <c r="C40" s="9" t="s">
        <v>208</v>
      </c>
      <c r="D40" s="9" t="s">
        <v>209</v>
      </c>
      <c r="E40" s="9" t="s">
        <v>210</v>
      </c>
      <c r="F40" s="9" t="s">
        <v>208</v>
      </c>
      <c r="G40" s="9" t="s">
        <v>211</v>
      </c>
      <c r="H40" s="9" t="s">
        <v>212</v>
      </c>
      <c r="I40" s="9" t="s">
        <v>213</v>
      </c>
      <c r="J40" s="9" t="s">
        <v>26</v>
      </c>
      <c r="K40" s="9" t="s">
        <v>105</v>
      </c>
      <c r="L40" s="10">
        <f t="shared" si="1"/>
        <v>0.0264</v>
      </c>
    </row>
    <row r="41" customHeight="1" spans="1:12">
      <c r="A41" s="8">
        <f t="shared" si="0"/>
        <v>35</v>
      </c>
      <c r="B41" s="9">
        <v>1</v>
      </c>
      <c r="C41" s="9" t="s">
        <v>214</v>
      </c>
      <c r="D41" s="9" t="s">
        <v>215</v>
      </c>
      <c r="E41" s="9" t="s">
        <v>210</v>
      </c>
      <c r="F41" s="9" t="s">
        <v>214</v>
      </c>
      <c r="G41" s="9" t="s">
        <v>216</v>
      </c>
      <c r="H41" s="9" t="s">
        <v>212</v>
      </c>
      <c r="I41" s="9" t="s">
        <v>217</v>
      </c>
      <c r="J41" s="9" t="s">
        <v>26</v>
      </c>
      <c r="K41" s="9" t="s">
        <v>100</v>
      </c>
      <c r="L41" s="10">
        <f t="shared" si="1"/>
        <v>0.0068</v>
      </c>
    </row>
    <row r="42" customHeight="1" spans="1:12">
      <c r="A42" s="8">
        <f t="shared" si="0"/>
        <v>36</v>
      </c>
      <c r="B42" s="9">
        <v>1</v>
      </c>
      <c r="C42" s="9" t="s">
        <v>218</v>
      </c>
      <c r="D42" s="9" t="s">
        <v>219</v>
      </c>
      <c r="E42" s="9" t="s">
        <v>210</v>
      </c>
      <c r="F42" s="9" t="s">
        <v>218</v>
      </c>
      <c r="G42" s="9" t="s">
        <v>220</v>
      </c>
      <c r="H42" s="9" t="s">
        <v>44</v>
      </c>
      <c r="I42" s="9" t="s">
        <v>221</v>
      </c>
      <c r="J42" s="9" t="s">
        <v>26</v>
      </c>
      <c r="K42" s="9" t="s">
        <v>222</v>
      </c>
      <c r="L42" s="10">
        <f t="shared" si="1"/>
        <v>0.0064</v>
      </c>
    </row>
    <row r="43" customHeight="1" spans="1:12">
      <c r="A43" s="8">
        <f t="shared" si="0"/>
        <v>37</v>
      </c>
      <c r="B43" s="9">
        <v>2</v>
      </c>
      <c r="C43" s="9" t="s">
        <v>223</v>
      </c>
      <c r="D43" s="9" t="s">
        <v>224</v>
      </c>
      <c r="E43" s="9" t="s">
        <v>210</v>
      </c>
      <c r="F43" s="9" t="s">
        <v>223</v>
      </c>
      <c r="G43" s="9" t="s">
        <v>0</v>
      </c>
      <c r="H43" s="9" t="s">
        <v>0</v>
      </c>
      <c r="I43" s="9" t="s">
        <v>0</v>
      </c>
      <c r="J43" s="9" t="s">
        <v>0</v>
      </c>
      <c r="K43" s="9" t="s">
        <v>0</v>
      </c>
      <c r="L43" s="10">
        <v>0</v>
      </c>
    </row>
    <row r="44" customHeight="1" spans="1:12">
      <c r="A44" s="8">
        <f t="shared" si="0"/>
        <v>38</v>
      </c>
      <c r="B44" s="9">
        <v>8</v>
      </c>
      <c r="C44" s="9" t="s">
        <v>225</v>
      </c>
      <c r="D44" s="9" t="s">
        <v>226</v>
      </c>
      <c r="E44" s="9" t="s">
        <v>227</v>
      </c>
      <c r="F44" s="9" t="s">
        <v>225</v>
      </c>
      <c r="G44" s="9" t="s">
        <v>228</v>
      </c>
      <c r="H44" s="9" t="s">
        <v>212</v>
      </c>
      <c r="I44" s="9" t="s">
        <v>229</v>
      </c>
      <c r="J44" s="9" t="s">
        <v>26</v>
      </c>
      <c r="K44" s="9" t="s">
        <v>230</v>
      </c>
      <c r="L44" s="10">
        <f t="shared" si="1"/>
        <v>0.0304</v>
      </c>
    </row>
    <row r="45" customHeight="1" spans="1:12">
      <c r="A45" s="8">
        <f t="shared" si="0"/>
        <v>39</v>
      </c>
      <c r="B45" s="9">
        <v>18</v>
      </c>
      <c r="C45" s="9" t="s">
        <v>231</v>
      </c>
      <c r="D45" s="9" t="s">
        <v>232</v>
      </c>
      <c r="E45" s="9" t="s">
        <v>227</v>
      </c>
      <c r="F45" s="9" t="s">
        <v>231</v>
      </c>
      <c r="G45" s="9" t="s">
        <v>233</v>
      </c>
      <c r="H45" s="9" t="s">
        <v>212</v>
      </c>
      <c r="I45" s="9" t="s">
        <v>234</v>
      </c>
      <c r="J45" s="9" t="s">
        <v>26</v>
      </c>
      <c r="K45" s="9" t="s">
        <v>235</v>
      </c>
      <c r="L45" s="10">
        <f t="shared" si="1"/>
        <v>0.0612</v>
      </c>
    </row>
    <row r="46" customHeight="1" spans="1:12">
      <c r="A46" s="8">
        <f t="shared" si="0"/>
        <v>40</v>
      </c>
      <c r="B46" s="9">
        <v>5</v>
      </c>
      <c r="C46" s="9" t="s">
        <v>236</v>
      </c>
      <c r="D46" s="9" t="s">
        <v>237</v>
      </c>
      <c r="E46" s="9" t="s">
        <v>227</v>
      </c>
      <c r="F46" s="9" t="s">
        <v>236</v>
      </c>
      <c r="G46" s="9" t="s">
        <v>238</v>
      </c>
      <c r="H46" s="9" t="s">
        <v>212</v>
      </c>
      <c r="I46" s="9" t="s">
        <v>239</v>
      </c>
      <c r="J46" s="9" t="s">
        <v>26</v>
      </c>
      <c r="K46" s="9" t="s">
        <v>240</v>
      </c>
      <c r="L46" s="10">
        <f t="shared" si="1"/>
        <v>0.0175</v>
      </c>
    </row>
    <row r="47" customHeight="1" spans="1:12">
      <c r="A47" s="8">
        <f t="shared" si="0"/>
        <v>41</v>
      </c>
      <c r="B47" s="9">
        <v>4</v>
      </c>
      <c r="C47" s="9" t="s">
        <v>241</v>
      </c>
      <c r="D47" s="9" t="s">
        <v>242</v>
      </c>
      <c r="E47" s="9" t="s">
        <v>210</v>
      </c>
      <c r="F47" s="9" t="s">
        <v>241</v>
      </c>
      <c r="G47" s="9" t="s">
        <v>243</v>
      </c>
      <c r="H47" s="9" t="s">
        <v>212</v>
      </c>
      <c r="I47" s="9" t="s">
        <v>244</v>
      </c>
      <c r="J47" s="9" t="s">
        <v>26</v>
      </c>
      <c r="K47" s="9" t="s">
        <v>118</v>
      </c>
      <c r="L47" s="10">
        <f t="shared" si="1"/>
        <v>0.0276</v>
      </c>
    </row>
    <row r="48" customHeight="1" spans="1:12">
      <c r="A48" s="8">
        <f t="shared" si="0"/>
        <v>42</v>
      </c>
      <c r="B48" s="9">
        <v>1</v>
      </c>
      <c r="C48" s="9" t="s">
        <v>245</v>
      </c>
      <c r="D48" s="9" t="s">
        <v>246</v>
      </c>
      <c r="E48" s="9" t="s">
        <v>210</v>
      </c>
      <c r="F48" s="9" t="s">
        <v>245</v>
      </c>
      <c r="G48" s="9" t="s">
        <v>247</v>
      </c>
      <c r="H48" s="9" t="s">
        <v>44</v>
      </c>
      <c r="I48" s="9" t="s">
        <v>248</v>
      </c>
      <c r="J48" s="9" t="s">
        <v>26</v>
      </c>
      <c r="K48" s="9" t="s">
        <v>249</v>
      </c>
      <c r="L48" s="10">
        <f t="shared" si="1"/>
        <v>0.0079</v>
      </c>
    </row>
    <row r="49" customHeight="1" spans="1:12">
      <c r="A49" s="8">
        <f t="shared" si="0"/>
        <v>43</v>
      </c>
      <c r="B49" s="9">
        <v>1</v>
      </c>
      <c r="C49" s="9" t="s">
        <v>250</v>
      </c>
      <c r="D49" s="9" t="s">
        <v>251</v>
      </c>
      <c r="E49" s="9" t="s">
        <v>210</v>
      </c>
      <c r="F49" s="9" t="s">
        <v>250</v>
      </c>
      <c r="G49" s="9" t="s">
        <v>252</v>
      </c>
      <c r="H49" s="9" t="s">
        <v>212</v>
      </c>
      <c r="I49" s="9" t="s">
        <v>253</v>
      </c>
      <c r="J49" s="9" t="s">
        <v>26</v>
      </c>
      <c r="K49" s="9" t="s">
        <v>254</v>
      </c>
      <c r="L49" s="10">
        <f t="shared" si="1"/>
        <v>0.0102</v>
      </c>
    </row>
    <row r="50" customHeight="1" spans="1:12">
      <c r="A50" s="8">
        <f t="shared" si="0"/>
        <v>44</v>
      </c>
      <c r="B50" s="9">
        <v>7</v>
      </c>
      <c r="C50" s="9" t="s">
        <v>231</v>
      </c>
      <c r="D50" s="9" t="s">
        <v>255</v>
      </c>
      <c r="E50" s="9" t="s">
        <v>210</v>
      </c>
      <c r="F50" s="9" t="s">
        <v>231</v>
      </c>
      <c r="G50" s="9" t="s">
        <v>256</v>
      </c>
      <c r="H50" s="9" t="s">
        <v>212</v>
      </c>
      <c r="I50" s="9" t="s">
        <v>257</v>
      </c>
      <c r="J50" s="9" t="s">
        <v>26</v>
      </c>
      <c r="K50" s="9" t="s">
        <v>258</v>
      </c>
      <c r="L50" s="10">
        <f t="shared" si="1"/>
        <v>0.0413</v>
      </c>
    </row>
    <row r="51" customHeight="1" spans="1:12">
      <c r="A51" s="8">
        <f t="shared" si="0"/>
        <v>45</v>
      </c>
      <c r="B51" s="9">
        <v>7</v>
      </c>
      <c r="C51" s="9" t="s">
        <v>250</v>
      </c>
      <c r="D51" s="9" t="s">
        <v>259</v>
      </c>
      <c r="E51" s="9" t="s">
        <v>227</v>
      </c>
      <c r="F51" s="9" t="s">
        <v>250</v>
      </c>
      <c r="G51" s="9" t="s">
        <v>260</v>
      </c>
      <c r="H51" s="9" t="s">
        <v>212</v>
      </c>
      <c r="I51" s="9" t="s">
        <v>261</v>
      </c>
      <c r="J51" s="9" t="s">
        <v>26</v>
      </c>
      <c r="K51" s="9" t="s">
        <v>262</v>
      </c>
      <c r="L51" s="10">
        <f t="shared" si="1"/>
        <v>0.0371</v>
      </c>
    </row>
    <row r="52" customHeight="1" spans="1:12">
      <c r="A52" s="8">
        <f t="shared" si="0"/>
        <v>46</v>
      </c>
      <c r="B52" s="9">
        <v>1</v>
      </c>
      <c r="C52" s="9" t="s">
        <v>263</v>
      </c>
      <c r="D52" s="9" t="s">
        <v>264</v>
      </c>
      <c r="E52" s="9" t="s">
        <v>265</v>
      </c>
      <c r="F52" s="9" t="s">
        <v>266</v>
      </c>
      <c r="G52" s="9" t="s">
        <v>263</v>
      </c>
      <c r="H52" s="9" t="s">
        <v>267</v>
      </c>
      <c r="I52" s="9" t="s">
        <v>268</v>
      </c>
      <c r="J52" s="9" t="s">
        <v>26</v>
      </c>
      <c r="K52" s="9" t="s">
        <v>269</v>
      </c>
      <c r="L52" s="10">
        <f t="shared" si="1"/>
        <v>0.2627</v>
      </c>
    </row>
    <row r="53" customHeight="1" spans="1:12">
      <c r="A53" s="8">
        <f t="shared" si="0"/>
        <v>47</v>
      </c>
      <c r="B53" s="9">
        <v>1</v>
      </c>
      <c r="C53" s="9" t="s">
        <v>270</v>
      </c>
      <c r="D53" s="9" t="s">
        <v>271</v>
      </c>
      <c r="E53" s="9" t="s">
        <v>227</v>
      </c>
      <c r="F53" s="9" t="s">
        <v>270</v>
      </c>
      <c r="G53" s="9" t="s">
        <v>272</v>
      </c>
      <c r="H53" s="9" t="s">
        <v>212</v>
      </c>
      <c r="I53" s="9" t="s">
        <v>273</v>
      </c>
      <c r="J53" s="9" t="s">
        <v>26</v>
      </c>
      <c r="K53" s="9" t="s">
        <v>235</v>
      </c>
      <c r="L53" s="10">
        <f t="shared" si="1"/>
        <v>0.0034</v>
      </c>
    </row>
    <row r="54" customHeight="1" spans="1:12">
      <c r="A54" s="8">
        <f t="shared" si="0"/>
        <v>48</v>
      </c>
      <c r="B54" s="9">
        <v>6</v>
      </c>
      <c r="C54" s="9" t="s">
        <v>274</v>
      </c>
      <c r="D54" s="9" t="s">
        <v>275</v>
      </c>
      <c r="E54" s="9" t="s">
        <v>227</v>
      </c>
      <c r="F54" s="9" t="s">
        <v>274</v>
      </c>
      <c r="G54" s="9" t="s">
        <v>276</v>
      </c>
      <c r="H54" s="9" t="s">
        <v>212</v>
      </c>
      <c r="I54" s="9" t="s">
        <v>277</v>
      </c>
      <c r="J54" s="9" t="s">
        <v>26</v>
      </c>
      <c r="K54" s="9" t="s">
        <v>278</v>
      </c>
      <c r="L54" s="10">
        <f t="shared" si="1"/>
        <v>0.0198</v>
      </c>
    </row>
    <row r="55" customHeight="1" spans="1:12">
      <c r="A55" s="8">
        <f t="shared" si="0"/>
        <v>49</v>
      </c>
      <c r="B55" s="9">
        <v>1</v>
      </c>
      <c r="C55" s="9" t="s">
        <v>223</v>
      </c>
      <c r="D55" s="9" t="s">
        <v>279</v>
      </c>
      <c r="E55" s="9" t="s">
        <v>227</v>
      </c>
      <c r="F55" s="9" t="s">
        <v>223</v>
      </c>
      <c r="G55" s="9" t="s">
        <v>276</v>
      </c>
      <c r="H55" s="9" t="s">
        <v>212</v>
      </c>
      <c r="I55" s="9" t="s">
        <v>0</v>
      </c>
      <c r="J55" s="9" t="s">
        <v>26</v>
      </c>
      <c r="K55" s="9" t="s">
        <v>0</v>
      </c>
      <c r="L55" s="10">
        <v>0</v>
      </c>
    </row>
    <row r="56" customHeight="1" spans="1:12">
      <c r="A56" s="8">
        <f t="shared" si="0"/>
        <v>50</v>
      </c>
      <c r="B56" s="9">
        <v>6</v>
      </c>
      <c r="C56" s="9" t="s">
        <v>274</v>
      </c>
      <c r="D56" s="9" t="s">
        <v>280</v>
      </c>
      <c r="E56" s="9" t="s">
        <v>210</v>
      </c>
      <c r="F56" s="9" t="s">
        <v>274</v>
      </c>
      <c r="G56" s="9" t="s">
        <v>281</v>
      </c>
      <c r="H56" s="9" t="s">
        <v>212</v>
      </c>
      <c r="I56" s="9" t="s">
        <v>282</v>
      </c>
      <c r="J56" s="9" t="s">
        <v>26</v>
      </c>
      <c r="K56" s="9" t="s">
        <v>283</v>
      </c>
      <c r="L56" s="10">
        <f t="shared" si="1"/>
        <v>0.0378</v>
      </c>
    </row>
    <row r="57" customHeight="1" spans="1:12">
      <c r="A57" s="8">
        <f t="shared" si="0"/>
        <v>51</v>
      </c>
      <c r="B57" s="9">
        <v>7</v>
      </c>
      <c r="C57" s="9" t="s">
        <v>284</v>
      </c>
      <c r="D57" s="9" t="s">
        <v>285</v>
      </c>
      <c r="E57" s="9" t="s">
        <v>227</v>
      </c>
      <c r="F57" s="9" t="s">
        <v>284</v>
      </c>
      <c r="G57" s="9" t="s">
        <v>286</v>
      </c>
      <c r="H57" s="9" t="s">
        <v>212</v>
      </c>
      <c r="I57" s="9" t="s">
        <v>287</v>
      </c>
      <c r="J57" s="9" t="s">
        <v>26</v>
      </c>
      <c r="K57" s="9" t="s">
        <v>288</v>
      </c>
      <c r="L57" s="10">
        <f t="shared" si="1"/>
        <v>0.0224</v>
      </c>
    </row>
    <row r="58" customHeight="1" spans="1:12">
      <c r="A58" s="8">
        <f t="shared" si="0"/>
        <v>52</v>
      </c>
      <c r="B58" s="9">
        <v>3</v>
      </c>
      <c r="C58" s="9" t="s">
        <v>289</v>
      </c>
      <c r="D58" s="9" t="s">
        <v>290</v>
      </c>
      <c r="E58" s="9" t="s">
        <v>291</v>
      </c>
      <c r="F58" s="9" t="s">
        <v>289</v>
      </c>
      <c r="G58" s="9" t="s">
        <v>292</v>
      </c>
      <c r="H58" s="9" t="s">
        <v>293</v>
      </c>
      <c r="I58" s="9" t="s">
        <v>294</v>
      </c>
      <c r="J58" s="9" t="s">
        <v>26</v>
      </c>
      <c r="K58" s="9" t="s">
        <v>295</v>
      </c>
      <c r="L58" s="10">
        <f t="shared" si="1"/>
        <v>1.7847</v>
      </c>
    </row>
    <row r="59" customHeight="1" spans="1:12">
      <c r="A59" s="8">
        <f t="shared" si="0"/>
        <v>53</v>
      </c>
      <c r="B59" s="9">
        <v>1</v>
      </c>
      <c r="C59" s="9" t="s">
        <v>296</v>
      </c>
      <c r="D59" s="9" t="s">
        <v>297</v>
      </c>
      <c r="E59" s="9" t="s">
        <v>298</v>
      </c>
      <c r="F59" s="9" t="s">
        <v>296</v>
      </c>
      <c r="G59" s="9" t="s">
        <v>299</v>
      </c>
      <c r="H59" s="9" t="s">
        <v>293</v>
      </c>
      <c r="I59" s="9" t="s">
        <v>300</v>
      </c>
      <c r="J59" s="9" t="s">
        <v>26</v>
      </c>
      <c r="K59" s="9" t="s">
        <v>301</v>
      </c>
      <c r="L59" s="10">
        <f t="shared" si="1"/>
        <v>0.5093</v>
      </c>
    </row>
    <row r="60" customHeight="1" spans="1:12">
      <c r="A60" s="8">
        <f t="shared" si="0"/>
        <v>54</v>
      </c>
      <c r="B60" s="9">
        <v>2</v>
      </c>
      <c r="C60" s="9" t="s">
        <v>302</v>
      </c>
      <c r="D60" s="9" t="s">
        <v>303</v>
      </c>
      <c r="E60" s="9" t="s">
        <v>227</v>
      </c>
      <c r="F60" s="9" t="s">
        <v>302</v>
      </c>
      <c r="G60" s="9" t="s">
        <v>304</v>
      </c>
      <c r="H60" s="9" t="s">
        <v>212</v>
      </c>
      <c r="I60" s="9" t="s">
        <v>305</v>
      </c>
      <c r="J60" s="9" t="s">
        <v>26</v>
      </c>
      <c r="K60" s="9" t="s">
        <v>240</v>
      </c>
      <c r="L60" s="10">
        <f t="shared" si="1"/>
        <v>0.007</v>
      </c>
    </row>
    <row r="61" customHeight="1" spans="1:12">
      <c r="A61" s="8">
        <f t="shared" si="0"/>
        <v>55</v>
      </c>
      <c r="B61" s="9">
        <v>2</v>
      </c>
      <c r="C61" s="9" t="s">
        <v>306</v>
      </c>
      <c r="D61" s="9" t="s">
        <v>307</v>
      </c>
      <c r="E61" s="9" t="s">
        <v>227</v>
      </c>
      <c r="F61" s="9" t="s">
        <v>306</v>
      </c>
      <c r="G61" s="9" t="s">
        <v>308</v>
      </c>
      <c r="H61" s="9" t="s">
        <v>212</v>
      </c>
      <c r="I61" s="9" t="s">
        <v>309</v>
      </c>
      <c r="J61" s="9" t="s">
        <v>26</v>
      </c>
      <c r="K61" s="9" t="s">
        <v>310</v>
      </c>
      <c r="L61" s="10">
        <f t="shared" si="1"/>
        <v>0.0062</v>
      </c>
    </row>
    <row r="62" customHeight="1" spans="1:12">
      <c r="A62" s="8">
        <f t="shared" si="0"/>
        <v>56</v>
      </c>
      <c r="B62" s="9">
        <v>1</v>
      </c>
      <c r="C62" s="9" t="s">
        <v>311</v>
      </c>
      <c r="D62" s="9" t="s">
        <v>312</v>
      </c>
      <c r="E62" s="9" t="s">
        <v>313</v>
      </c>
      <c r="F62" s="9" t="s">
        <v>0</v>
      </c>
      <c r="G62" s="9" t="s">
        <v>311</v>
      </c>
      <c r="H62" s="9" t="s">
        <v>314</v>
      </c>
      <c r="I62" s="9" t="s">
        <v>315</v>
      </c>
      <c r="J62" s="9" t="s">
        <v>26</v>
      </c>
      <c r="K62" s="9" t="s">
        <v>316</v>
      </c>
      <c r="L62" s="10">
        <f t="shared" si="1"/>
        <v>19.78</v>
      </c>
    </row>
    <row r="63" customHeight="1" spans="1:12">
      <c r="A63" s="8">
        <f t="shared" si="0"/>
        <v>57</v>
      </c>
      <c r="B63" s="9">
        <v>1</v>
      </c>
      <c r="C63" s="9" t="s">
        <v>317</v>
      </c>
      <c r="D63" s="9" t="s">
        <v>318</v>
      </c>
      <c r="E63" s="9" t="s">
        <v>319</v>
      </c>
      <c r="F63" s="9" t="s">
        <v>0</v>
      </c>
      <c r="G63" s="9" t="s">
        <v>317</v>
      </c>
      <c r="H63" s="9" t="s">
        <v>320</v>
      </c>
      <c r="I63" s="9" t="s">
        <v>321</v>
      </c>
      <c r="J63" s="9" t="s">
        <v>26</v>
      </c>
      <c r="K63" s="9" t="s">
        <v>322</v>
      </c>
      <c r="L63" s="10">
        <f t="shared" si="1"/>
        <v>34.54</v>
      </c>
    </row>
    <row r="64" customHeight="1" spans="1:12">
      <c r="A64" s="8">
        <f t="shared" si="0"/>
        <v>58</v>
      </c>
      <c r="B64" s="9">
        <v>1</v>
      </c>
      <c r="C64" s="9" t="s">
        <v>323</v>
      </c>
      <c r="D64" s="9" t="s">
        <v>324</v>
      </c>
      <c r="E64" s="9" t="s">
        <v>325</v>
      </c>
      <c r="F64" s="9" t="s">
        <v>0</v>
      </c>
      <c r="G64" s="9" t="s">
        <v>323</v>
      </c>
      <c r="H64" s="9" t="s">
        <v>326</v>
      </c>
      <c r="I64" s="9" t="s">
        <v>327</v>
      </c>
      <c r="J64" s="9" t="s">
        <v>26</v>
      </c>
      <c r="K64" s="9" t="s">
        <v>328</v>
      </c>
      <c r="L64" s="10">
        <f t="shared" si="1"/>
        <v>0.6648</v>
      </c>
    </row>
    <row r="65" customHeight="1" spans="1:12">
      <c r="A65" s="8">
        <f t="shared" si="0"/>
        <v>59</v>
      </c>
      <c r="B65" s="9">
        <v>1</v>
      </c>
      <c r="C65" s="9" t="s">
        <v>329</v>
      </c>
      <c r="D65" s="9" t="s">
        <v>330</v>
      </c>
      <c r="E65" s="9" t="s">
        <v>331</v>
      </c>
      <c r="F65" s="9" t="s">
        <v>0</v>
      </c>
      <c r="G65" s="9" t="s">
        <v>329</v>
      </c>
      <c r="H65" s="9" t="s">
        <v>332</v>
      </c>
      <c r="I65" s="9" t="s">
        <v>333</v>
      </c>
      <c r="J65" s="9" t="s">
        <v>26</v>
      </c>
      <c r="K65" s="9" t="s">
        <v>334</v>
      </c>
      <c r="L65" s="10">
        <f t="shared" si="1"/>
        <v>0.3153</v>
      </c>
    </row>
    <row r="66" customHeight="1" spans="1:12">
      <c r="A66" s="8">
        <f t="shared" si="0"/>
        <v>60</v>
      </c>
      <c r="B66" s="9">
        <v>1</v>
      </c>
      <c r="C66" s="9" t="s">
        <v>335</v>
      </c>
      <c r="D66" s="9" t="s">
        <v>336</v>
      </c>
      <c r="E66" s="9" t="s">
        <v>337</v>
      </c>
      <c r="F66" s="9" t="s">
        <v>0</v>
      </c>
      <c r="G66" s="9" t="s">
        <v>335</v>
      </c>
      <c r="H66" s="9" t="s">
        <v>326</v>
      </c>
      <c r="I66" s="9" t="s">
        <v>338</v>
      </c>
      <c r="J66" s="9" t="s">
        <v>26</v>
      </c>
      <c r="K66" s="9" t="s">
        <v>339</v>
      </c>
      <c r="L66" s="10">
        <f t="shared" si="1"/>
        <v>0.9925</v>
      </c>
    </row>
    <row r="67" customHeight="1" spans="1:12">
      <c r="A67" s="8">
        <f t="shared" si="0"/>
        <v>61</v>
      </c>
      <c r="B67" s="9">
        <v>1</v>
      </c>
      <c r="C67" s="9" t="s">
        <v>340</v>
      </c>
      <c r="D67" s="9" t="s">
        <v>341</v>
      </c>
      <c r="E67" s="9" t="s">
        <v>342</v>
      </c>
      <c r="F67" s="9" t="s">
        <v>0</v>
      </c>
      <c r="G67" s="9" t="s">
        <v>340</v>
      </c>
      <c r="H67" s="9" t="s">
        <v>343</v>
      </c>
      <c r="I67" s="9" t="s">
        <v>344</v>
      </c>
      <c r="J67" s="9" t="s">
        <v>26</v>
      </c>
      <c r="K67" s="9" t="s">
        <v>345</v>
      </c>
      <c r="L67" s="10">
        <f t="shared" si="1"/>
        <v>0.8322</v>
      </c>
    </row>
    <row r="68" customHeight="1" spans="1:12">
      <c r="A68" s="8">
        <f t="shared" si="0"/>
        <v>62</v>
      </c>
      <c r="B68" s="9">
        <v>1</v>
      </c>
      <c r="C68" s="9" t="s">
        <v>346</v>
      </c>
      <c r="D68" s="9" t="s">
        <v>347</v>
      </c>
      <c r="E68" s="9" t="s">
        <v>348</v>
      </c>
      <c r="F68" s="9" t="s">
        <v>346</v>
      </c>
      <c r="G68" s="9" t="s">
        <v>349</v>
      </c>
      <c r="H68" s="9" t="s">
        <v>350</v>
      </c>
      <c r="I68" s="9" t="s">
        <v>351</v>
      </c>
      <c r="J68" s="9" t="s">
        <v>26</v>
      </c>
      <c r="K68" s="9" t="s">
        <v>352</v>
      </c>
      <c r="L68" s="10">
        <f t="shared" si="1"/>
        <v>1.0939</v>
      </c>
    </row>
    <row r="69" customHeight="1" spans="1:12">
      <c r="A69" s="8">
        <f t="shared" si="0"/>
        <v>63</v>
      </c>
      <c r="B69" s="9">
        <v>1</v>
      </c>
      <c r="C69" s="9" t="s">
        <v>353</v>
      </c>
      <c r="D69" s="9" t="s">
        <v>354</v>
      </c>
      <c r="E69" s="9" t="s">
        <v>355</v>
      </c>
      <c r="F69" s="9" t="s">
        <v>353</v>
      </c>
      <c r="G69" s="9" t="s">
        <v>356</v>
      </c>
      <c r="H69" s="9" t="s">
        <v>357</v>
      </c>
      <c r="I69" s="9" t="s">
        <v>358</v>
      </c>
      <c r="J69" s="9" t="s">
        <v>26</v>
      </c>
      <c r="K69" s="9" t="s">
        <v>359</v>
      </c>
      <c r="L69" s="10">
        <f t="shared" si="1"/>
        <v>1.3055</v>
      </c>
    </row>
    <row r="70" customHeight="1" spans="1:12">
      <c r="A70" s="8">
        <f t="shared" si="0"/>
        <v>64</v>
      </c>
      <c r="B70" s="11">
        <f>SUM(L7:L69)</f>
        <v>100.9227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</row>
  </sheetData>
  <mergeCells count="4">
    <mergeCell ref="B70:L70"/>
    <mergeCell ref="E1:E2"/>
    <mergeCell ref="F1:F2"/>
    <mergeCell ref="A1:D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zoomScale="220" zoomScaleNormal="220" workbookViewId="0">
      <selection activeCell="B14" sqref="B14"/>
    </sheetView>
  </sheetViews>
  <sheetFormatPr defaultColWidth="9" defaultRowHeight="14.25" customHeight="1" outlineLevelCol="1"/>
  <cols>
    <col min="1" max="1" width="23.625" customWidth="1"/>
    <col min="2" max="2" width="57.5" customWidth="1"/>
  </cols>
  <sheetData>
    <row r="1" customHeight="1" spans="1:2">
      <c r="A1" s="1" t="s">
        <v>360</v>
      </c>
      <c r="B1" s="1" t="s">
        <v>4</v>
      </c>
    </row>
    <row r="2" customHeight="1" spans="1:2">
      <c r="A2" s="1" t="s">
        <v>361</v>
      </c>
      <c r="B2" s="1" t="s">
        <v>362</v>
      </c>
    </row>
    <row r="3" customHeight="1" spans="1:2">
      <c r="A3" s="1" t="s">
        <v>363</v>
      </c>
      <c r="B3" s="1" t="s">
        <v>6</v>
      </c>
    </row>
    <row r="4" customHeight="1" spans="1:2">
      <c r="A4" s="1" t="s">
        <v>364</v>
      </c>
      <c r="B4" s="1" t="s">
        <v>365</v>
      </c>
    </row>
    <row r="5" customHeight="1" spans="1:2">
      <c r="A5" s="1" t="s">
        <v>366</v>
      </c>
      <c r="B5" s="1" t="s">
        <v>6</v>
      </c>
    </row>
    <row r="6" customHeight="1" spans="1:2">
      <c r="A6" s="1" t="s">
        <v>367</v>
      </c>
      <c r="B6" s="1">
        <v>208</v>
      </c>
    </row>
    <row r="7" customHeight="1" spans="1:2">
      <c r="A7" s="1" t="s">
        <v>368</v>
      </c>
      <c r="B7" s="1" t="s">
        <v>369</v>
      </c>
    </row>
    <row r="8" customHeight="1" spans="1:2">
      <c r="A8" s="1" t="s">
        <v>370</v>
      </c>
      <c r="B8" s="1" t="s">
        <v>371</v>
      </c>
    </row>
    <row r="9" customHeight="1" spans="1:2">
      <c r="A9" s="1" t="s">
        <v>372</v>
      </c>
      <c r="B9" s="1" t="s">
        <v>8</v>
      </c>
    </row>
    <row r="10" customHeight="1" spans="1:2">
      <c r="A10" s="1" t="s">
        <v>373</v>
      </c>
      <c r="B10" s="1" t="s">
        <v>2</v>
      </c>
    </row>
    <row r="11" customHeight="1" spans="1:2">
      <c r="A11" s="1" t="s">
        <v>374</v>
      </c>
      <c r="B11" s="1" t="s">
        <v>375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会飞的熊猫</cp:lastModifiedBy>
  <dcterms:created xsi:type="dcterms:W3CDTF">2024-08-02T02:42:00Z</dcterms:created>
  <dcterms:modified xsi:type="dcterms:W3CDTF">2025-11-20T17:13:30Z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D1ABCF2B9C0242B6ABBBB2348D9A35A2_12</vt:lpwstr>
  </property>
  <property fmtid="{D5CDD505-2E9C-101B-9397-08002B2CF9AE}" pid="3" name="KSOProductBuildVer">
    <vt:lpwstr>2052-12.1.0.23542</vt:lpwstr>
  </property>
</Properties>
</file>