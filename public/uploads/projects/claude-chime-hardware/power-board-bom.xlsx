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BOM_Board1_Schematic1_2026-04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<sst xmlns="http://schemas.openxmlformats.org/spreadsheetml/2006/main" count="201" uniqueCount="151">
  <si>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</si>
  <si>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</si>
  <si>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</si>
  <si>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</si>
  <si>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</si>
  <si>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</si>
  <si>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</si>
  <si>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</si>
  <si>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</si>
  <si>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</si>
  <si>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Sum Price</t>
  </si>
  <si>
    <t>1</t>
  </si>
  <si>
    <t>BAT+1,BAT-1,SOL+1,SOL-1</t>
  </si>
  <si>
    <t>Test-Point-0.5mm</t>
  </si>
  <si>
    <t/>
  </si>
  <si>
    <t>2</t>
  </si>
  <si>
    <t>C1,C3,C5,C7,C8,C10,C11,C12</t>
  </si>
  <si>
    <t>C0603</t>
  </si>
  <si>
    <t>22uF</t>
  </si>
  <si>
    <t>CGA0603X5R226M100JT</t>
  </si>
  <si>
    <t>HRE(芯声)</t>
  </si>
  <si>
    <t>C6119863</t>
  </si>
  <si>
    <t>LCSC</t>
  </si>
  <si>
    <t>0.1053</t>
  </si>
  <si>
    <t>3</t>
  </si>
  <si>
    <t>C2,C4,C6,C9,C13,C14</t>
  </si>
  <si>
    <t>100nF</t>
  </si>
  <si>
    <t>CL10B104KB8NNNC</t>
  </si>
  <si>
    <t>SAMSUNG(三星)</t>
  </si>
  <si>
    <t>C1591</t>
  </si>
  <si>
    <t>0.0175</t>
  </si>
  <si>
    <t>4</t>
  </si>
  <si>
    <t>C15,C16</t>
  </si>
  <si>
    <t>4.7uF</t>
  </si>
  <si>
    <t>CL10A475KO8NNNC</t>
  </si>
  <si>
    <t>C19666</t>
  </si>
  <si>
    <t>0.0631</t>
  </si>
  <si>
    <t>5</t>
  </si>
  <si>
    <t>D1,D2</t>
  </si>
  <si>
    <t>SMA_L4.4-W2.8-LS5.4-RD</t>
  </si>
  <si>
    <t>SS12</t>
  </si>
  <si>
    <t>onsemi(安森美)</t>
  </si>
  <si>
    <t>C184027</t>
  </si>
  <si>
    <t>1.75</t>
  </si>
  <si>
    <t>6</t>
  </si>
  <si>
    <t>D3,D4</t>
  </si>
  <si>
    <t>SMA_L4.3-W2.6-LS5.0-FD</t>
  </si>
  <si>
    <t>SS34</t>
  </si>
  <si>
    <t>R+O(宏嘉诚)</t>
  </si>
  <si>
    <t>C7420365</t>
  </si>
  <si>
    <t>0.1778</t>
  </si>
  <si>
    <t>7</t>
  </si>
  <si>
    <t>L1,L2</t>
  </si>
  <si>
    <t>IND-SMD_XRTC404020S100MGCA</t>
  </si>
  <si>
    <t>4.7uH</t>
  </si>
  <si>
    <t>XRIM404020S4R7MGCA</t>
  </si>
  <si>
    <t>XR(祥如)</t>
  </si>
  <si>
    <t>C39846859</t>
  </si>
  <si>
    <t>1.4144</t>
  </si>
  <si>
    <t>8</t>
  </si>
  <si>
    <t>Q1</t>
  </si>
  <si>
    <t>SOT-23-3_L2.9-W1.4-P1.90-LS2.6-BR</t>
  </si>
  <si>
    <t>AO3401</t>
  </si>
  <si>
    <t>TWGMC(迪嘉)</t>
  </si>
  <si>
    <t>C727156</t>
  </si>
  <si>
    <t>0.2506</t>
  </si>
  <si>
    <t>9</t>
  </si>
  <si>
    <t>Q2,Q4</t>
  </si>
  <si>
    <t>SOT-23-3_L2.9-W1.3-P1.90-LS2.4-BR</t>
  </si>
  <si>
    <t>2N7002</t>
  </si>
  <si>
    <t>JSMSEMI(杰盛微)</t>
  </si>
  <si>
    <t>C916396</t>
  </si>
  <si>
    <t>0.0515</t>
  </si>
  <si>
    <t>10</t>
  </si>
  <si>
    <t>Q3</t>
  </si>
  <si>
    <t>AO3400A</t>
  </si>
  <si>
    <t>UMW(友台半导体)</t>
  </si>
  <si>
    <t>C347475</t>
  </si>
  <si>
    <t>0.2014</t>
  </si>
  <si>
    <t>11</t>
  </si>
  <si>
    <t>R1,R7</t>
  </si>
  <si>
    <t>R0603</t>
  </si>
  <si>
    <t>523kΩ</t>
  </si>
  <si>
    <t>FRC0603F5233TS</t>
  </si>
  <si>
    <t>FOJAN(富捷)</t>
  </si>
  <si>
    <t>C5126197</t>
  </si>
  <si>
    <t>0.0062</t>
  </si>
  <si>
    <t>12</t>
  </si>
  <si>
    <t>R2,R11</t>
  </si>
  <si>
    <t>100kΩ</t>
  </si>
  <si>
    <t>0603WAF1003T5E</t>
  </si>
  <si>
    <t>UNI-ROYAL(厚声)</t>
  </si>
  <si>
    <t>C25803</t>
  </si>
  <si>
    <t>0.0107</t>
  </si>
  <si>
    <t>13</t>
  </si>
  <si>
    <t>R3,R9,R13,R16</t>
  </si>
  <si>
    <t>10kΩ</t>
  </si>
  <si>
    <t>RT0603BRD0710KL</t>
  </si>
  <si>
    <t>YAGEO(国巨)</t>
  </si>
  <si>
    <t>C95204</t>
  </si>
  <si>
    <t>0.1367</t>
  </si>
  <si>
    <t>14</t>
  </si>
  <si>
    <t>R4,R6,R8</t>
  </si>
  <si>
    <t>1kΩ</t>
  </si>
  <si>
    <t>FRC0603F1001TS</t>
  </si>
  <si>
    <t>C2907002</t>
  </si>
  <si>
    <t>0.0069</t>
  </si>
  <si>
    <t>15</t>
  </si>
  <si>
    <t>R5</t>
  </si>
  <si>
    <t>15kΩ</t>
  </si>
  <si>
    <t>0603WAF1502T5E</t>
  </si>
  <si>
    <t>C22809</t>
  </si>
  <si>
    <t>0.0105</t>
  </si>
  <si>
    <t>16</t>
  </si>
  <si>
    <t>R10</t>
  </si>
  <si>
    <t>22kΩ</t>
  </si>
  <si>
    <t>0603WAF2202T5E</t>
  </si>
  <si>
    <t>C31850</t>
  </si>
  <si>
    <t>0.0101</t>
  </si>
  <si>
    <t>17</t>
  </si>
  <si>
    <t>R12</t>
  </si>
  <si>
    <t>33Ω</t>
  </si>
  <si>
    <t>FRC0603F33R0TS</t>
  </si>
  <si>
    <t>C2909394</t>
  </si>
  <si>
    <t>0.0063</t>
  </si>
  <si>
    <t>18</t>
  </si>
  <si>
    <t>R15</t>
  </si>
  <si>
    <t>3.3kΩ</t>
  </si>
  <si>
    <t>0603WAF3301T5E</t>
  </si>
  <si>
    <t>C22978</t>
  </si>
  <si>
    <t>19</t>
  </si>
  <si>
    <t>U1</t>
  </si>
  <si>
    <t>CONN-SMD_6P-P1.00_MEGASTAR_ZX-SH1.0-6PWT</t>
  </si>
  <si>
    <t>ZX-SH1.0-6PWT</t>
  </si>
  <si>
    <t>Megastar(兆星)</t>
  </si>
  <si>
    <t>C7430448</t>
  </si>
  <si>
    <t>0.4837</t>
  </si>
  <si>
    <t>20</t>
  </si>
  <si>
    <t>U2,U3</t>
  </si>
  <si>
    <t>SOT-23-6_L2.9-W1.6-P0.95-LS2.8-BR</t>
  </si>
  <si>
    <t>TLV61048DBVR</t>
  </si>
  <si>
    <t>TI(德州仪器)</t>
  </si>
  <si>
    <t>C2861467</t>
  </si>
  <si>
    <t>1.1024</t>
  </si>
  <si>
    <t>21</t>
  </si>
  <si>
    <t>U4</t>
  </si>
  <si>
    <t>SOT-23-5_L3.0-W1.7-P0.95-LS2.8-BL</t>
  </si>
  <si>
    <t>MCP73831T-2ACI/OT</t>
  </si>
  <si>
    <t>MICROCHIP(美国微芯)</t>
  </si>
  <si>
    <t>C424093</t>
  </si>
  <si>
    <t>4.62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</si>
</sst>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K23" sqref="K23"/>
    </sheetView>
  </sheetViews>
  <sheetFormatPr defaultColWidth="9" defaultRowHeight="14"/>
  <cols>
    <col min="1" max="10" width="20" customWidth="1"/>
    <col min="11" max="11" width="17.545454545454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1">
      <c r="A3" t="s">
        <v>15</v>
      </c>
      <c r="B3">
        <v>8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f>J3*B3</f>
        <v>0.8424</v>
      </c>
    </row>
    <row r="4" spans="1:11">
      <c r="A4" t="s">
        <v>24</v>
      </c>
      <c r="B4">
        <v>6</v>
      </c>
      <c r="C4" t="s">
        <v>25</v>
      </c>
      <c r="D4" t="s">
        <v>17</v>
      </c>
      <c r="E4" t="s">
        <v>26</v>
      </c>
      <c r="F4" t="s">
        <v>27</v>
      </c>
      <c r="G4" t="s">
        <v>28</v>
      </c>
      <c r="H4" t="s">
        <v>29</v>
      </c>
      <c r="I4" t="s">
        <v>22</v>
      </c>
      <c r="J4" t="s">
        <v>30</v>
      </c>
      <c r="K4">
        <f t="shared" ref="K4:K22" si="0">J4*B4</f>
        <v>0.105</v>
      </c>
    </row>
    <row r="5" spans="1:11">
      <c r="A5" t="s">
        <v>31</v>
      </c>
      <c r="B5">
        <v>2</v>
      </c>
      <c r="C5" t="s">
        <v>32</v>
      </c>
      <c r="D5" t="s">
        <v>17</v>
      </c>
      <c r="E5" t="s">
        <v>33</v>
      </c>
      <c r="F5" t="s">
        <v>34</v>
      </c>
      <c r="G5" t="s">
        <v>28</v>
      </c>
      <c r="H5" t="s">
        <v>35</v>
      </c>
      <c r="I5" t="s">
        <v>22</v>
      </c>
      <c r="J5" t="s">
        <v>36</v>
      </c>
      <c r="K5">
        <f t="shared" si="0"/>
        <v>0.1262</v>
      </c>
    </row>
    <row r="6" spans="1:11">
      <c r="A6" t="s">
        <v>37</v>
      </c>
      <c r="B6">
        <v>2</v>
      </c>
      <c r="C6" t="s">
        <v>38</v>
      </c>
      <c r="D6" t="s">
        <v>39</v>
      </c>
      <c r="E6" t="s">
        <v>14</v>
      </c>
      <c r="F6" t="s">
        <v>40</v>
      </c>
      <c r="G6" t="s">
        <v>41</v>
      </c>
      <c r="H6" t="s">
        <v>42</v>
      </c>
      <c r="I6" t="s">
        <v>22</v>
      </c>
      <c r="J6" t="s">
        <v>43</v>
      </c>
      <c r="K6">
        <f t="shared" si="0"/>
        <v>3.5</v>
      </c>
    </row>
    <row r="7" spans="1:11">
      <c r="A7" t="s">
        <v>44</v>
      </c>
      <c r="B7">
        <v>2</v>
      </c>
      <c r="C7" t="s">
        <v>45</v>
      </c>
      <c r="D7" t="s">
        <v>46</v>
      </c>
      <c r="E7" t="s">
        <v>14</v>
      </c>
      <c r="F7" t="s">
        <v>47</v>
      </c>
      <c r="G7" t="s">
        <v>48</v>
      </c>
      <c r="H7" t="s">
        <v>49</v>
      </c>
      <c r="I7" t="s">
        <v>22</v>
      </c>
      <c r="J7" t="s">
        <v>50</v>
      </c>
      <c r="K7">
        <f t="shared" si="0"/>
        <v>0.3556</v>
      </c>
    </row>
    <row r="8" spans="1:11">
      <c r="A8" t="s">
        <v>51</v>
      </c>
      <c r="B8">
        <v>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22</v>
      </c>
      <c r="J8" t="s">
        <v>58</v>
      </c>
      <c r="K8">
        <f t="shared" si="0"/>
        <v>2.8288</v>
      </c>
    </row>
    <row r="9" spans="1:11">
      <c r="A9" t="s">
        <v>59</v>
      </c>
      <c r="B9">
        <v>1</v>
      </c>
      <c r="C9" t="s">
        <v>60</v>
      </c>
      <c r="D9" t="s">
        <v>61</v>
      </c>
      <c r="E9" t="s">
        <v>14</v>
      </c>
      <c r="F9" t="s">
        <v>62</v>
      </c>
      <c r="G9" t="s">
        <v>63</v>
      </c>
      <c r="H9" t="s">
        <v>64</v>
      </c>
      <c r="I9" t="s">
        <v>22</v>
      </c>
      <c r="J9" t="s">
        <v>65</v>
      </c>
      <c r="K9">
        <f t="shared" si="0"/>
        <v>0.2506</v>
      </c>
    </row>
    <row r="10" spans="1:11">
      <c r="A10" t="s">
        <v>66</v>
      </c>
      <c r="B10">
        <v>2</v>
      </c>
      <c r="C10" t="s">
        <v>67</v>
      </c>
      <c r="D10" t="s">
        <v>68</v>
      </c>
      <c r="E10" t="s">
        <v>14</v>
      </c>
      <c r="F10" t="s">
        <v>69</v>
      </c>
      <c r="G10" t="s">
        <v>70</v>
      </c>
      <c r="H10" t="s">
        <v>71</v>
      </c>
      <c r="I10" t="s">
        <v>22</v>
      </c>
      <c r="J10" t="s">
        <v>72</v>
      </c>
      <c r="K10">
        <f t="shared" si="0"/>
        <v>0.103</v>
      </c>
    </row>
    <row r="11" spans="1:11">
      <c r="A11" t="s">
        <v>73</v>
      </c>
      <c r="B11">
        <v>1</v>
      </c>
      <c r="C11" t="s">
        <v>74</v>
      </c>
      <c r="D11" t="s">
        <v>68</v>
      </c>
      <c r="E11" t="s">
        <v>14</v>
      </c>
      <c r="F11" t="s">
        <v>75</v>
      </c>
      <c r="G11" t="s">
        <v>76</v>
      </c>
      <c r="H11" t="s">
        <v>77</v>
      </c>
      <c r="I11" t="s">
        <v>22</v>
      </c>
      <c r="J11" t="s">
        <v>78</v>
      </c>
      <c r="K11">
        <f t="shared" si="0"/>
        <v>0.2014</v>
      </c>
    </row>
    <row r="12" spans="1:11">
      <c r="A12" t="s">
        <v>79</v>
      </c>
      <c r="B12">
        <v>2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22</v>
      </c>
      <c r="J12" t="s">
        <v>86</v>
      </c>
      <c r="K12">
        <f t="shared" si="0"/>
        <v>0.0124</v>
      </c>
    </row>
    <row r="13" spans="1:11">
      <c r="A13" t="s">
        <v>87</v>
      </c>
      <c r="B13">
        <v>2</v>
      </c>
      <c r="C13" t="s">
        <v>88</v>
      </c>
      <c r="D13" t="s">
        <v>81</v>
      </c>
      <c r="E13" t="s">
        <v>89</v>
      </c>
      <c r="F13" t="s">
        <v>90</v>
      </c>
      <c r="G13" t="s">
        <v>91</v>
      </c>
      <c r="H13" t="s">
        <v>92</v>
      </c>
      <c r="I13" t="s">
        <v>22</v>
      </c>
      <c r="J13" t="s">
        <v>93</v>
      </c>
      <c r="K13">
        <f t="shared" si="0"/>
        <v>0.0214</v>
      </c>
    </row>
    <row r="14" spans="1:11">
      <c r="A14" t="s">
        <v>94</v>
      </c>
      <c r="B14">
        <v>4</v>
      </c>
      <c r="C14" t="s">
        <v>95</v>
      </c>
      <c r="D14" t="s">
        <v>81</v>
      </c>
      <c r="E14" t="s">
        <v>96</v>
      </c>
      <c r="F14" t="s">
        <v>97</v>
      </c>
      <c r="G14" t="s">
        <v>98</v>
      </c>
      <c r="H14" t="s">
        <v>99</v>
      </c>
      <c r="I14" t="s">
        <v>22</v>
      </c>
      <c r="J14" t="s">
        <v>100</v>
      </c>
      <c r="K14">
        <f t="shared" si="0"/>
        <v>0.5468</v>
      </c>
    </row>
    <row r="15" spans="1:11">
      <c r="A15" t="s">
        <v>101</v>
      </c>
      <c r="B15">
        <v>3</v>
      </c>
      <c r="C15" t="s">
        <v>102</v>
      </c>
      <c r="D15" t="s">
        <v>81</v>
      </c>
      <c r="E15" t="s">
        <v>103</v>
      </c>
      <c r="F15" t="s">
        <v>104</v>
      </c>
      <c r="G15" t="s">
        <v>84</v>
      </c>
      <c r="H15" t="s">
        <v>105</v>
      </c>
      <c r="I15" t="s">
        <v>22</v>
      </c>
      <c r="J15" t="s">
        <v>106</v>
      </c>
      <c r="K15">
        <f t="shared" si="0"/>
        <v>0.0207</v>
      </c>
    </row>
    <row r="16" spans="1:11">
      <c r="A16" t="s">
        <v>107</v>
      </c>
      <c r="B16">
        <v>1</v>
      </c>
      <c r="C16" t="s">
        <v>108</v>
      </c>
      <c r="D16" t="s">
        <v>81</v>
      </c>
      <c r="E16" t="s">
        <v>109</v>
      </c>
      <c r="F16" t="s">
        <v>110</v>
      </c>
      <c r="G16" t="s">
        <v>91</v>
      </c>
      <c r="H16" t="s">
        <v>111</v>
      </c>
      <c r="I16" t="s">
        <v>22</v>
      </c>
      <c r="J16" t="s">
        <v>112</v>
      </c>
      <c r="K16">
        <f t="shared" si="0"/>
        <v>0.0105</v>
      </c>
    </row>
    <row r="17" spans="1:11">
      <c r="A17" t="s">
        <v>113</v>
      </c>
      <c r="B17">
        <v>1</v>
      </c>
      <c r="C17" t="s">
        <v>114</v>
      </c>
      <c r="D17" t="s">
        <v>81</v>
      </c>
      <c r="E17" t="s">
        <v>115</v>
      </c>
      <c r="F17" t="s">
        <v>116</v>
      </c>
      <c r="G17" t="s">
        <v>91</v>
      </c>
      <c r="H17" t="s">
        <v>117</v>
      </c>
      <c r="I17" t="s">
        <v>22</v>
      </c>
      <c r="J17" t="s">
        <v>118</v>
      </c>
      <c r="K17">
        <f t="shared" si="0"/>
        <v>0.0101</v>
      </c>
    </row>
    <row r="18" spans="1:11">
      <c r="A18" t="s">
        <v>119</v>
      </c>
      <c r="B18">
        <v>1</v>
      </c>
      <c r="C18" t="s">
        <v>120</v>
      </c>
      <c r="D18" t="s">
        <v>81</v>
      </c>
      <c r="E18" t="s">
        <v>121</v>
      </c>
      <c r="F18" t="s">
        <v>122</v>
      </c>
      <c r="G18" t="s">
        <v>84</v>
      </c>
      <c r="H18" t="s">
        <v>123</v>
      </c>
      <c r="I18" t="s">
        <v>22</v>
      </c>
      <c r="J18" t="s">
        <v>124</v>
      </c>
      <c r="K18">
        <f t="shared" si="0"/>
        <v>0.0063</v>
      </c>
    </row>
    <row r="19" spans="1:11">
      <c r="A19" t="s">
        <v>125</v>
      </c>
      <c r="B19">
        <v>1</v>
      </c>
      <c r="C19" t="s">
        <v>126</v>
      </c>
      <c r="D19" t="s">
        <v>81</v>
      </c>
      <c r="E19" t="s">
        <v>127</v>
      </c>
      <c r="F19" t="s">
        <v>128</v>
      </c>
      <c r="G19" t="s">
        <v>91</v>
      </c>
      <c r="H19" t="s">
        <v>129</v>
      </c>
      <c r="I19" t="s">
        <v>22</v>
      </c>
      <c r="J19" t="s">
        <v>112</v>
      </c>
      <c r="K19">
        <f t="shared" si="0"/>
        <v>0.0105</v>
      </c>
    </row>
    <row r="20" spans="1:11">
      <c r="A20" t="s">
        <v>130</v>
      </c>
      <c r="B20">
        <v>1</v>
      </c>
      <c r="C20" t="s">
        <v>131</v>
      </c>
      <c r="D20" t="s">
        <v>132</v>
      </c>
      <c r="E20" t="s">
        <v>14</v>
      </c>
      <c r="F20" t="s">
        <v>133</v>
      </c>
      <c r="G20" t="s">
        <v>134</v>
      </c>
      <c r="H20" t="s">
        <v>135</v>
      </c>
      <c r="I20" t="s">
        <v>22</v>
      </c>
      <c r="J20" t="s">
        <v>136</v>
      </c>
      <c r="K20">
        <f t="shared" si="0"/>
        <v>0.4837</v>
      </c>
    </row>
    <row r="21" spans="1:11">
      <c r="A21" t="s">
        <v>137</v>
      </c>
      <c r="B21">
        <v>2</v>
      </c>
      <c r="C21" t="s">
        <v>138</v>
      </c>
      <c r="D21" t="s">
        <v>139</v>
      </c>
      <c r="E21" t="s">
        <v>14</v>
      </c>
      <c r="F21" t="s">
        <v>140</v>
      </c>
      <c r="G21" t="s">
        <v>141</v>
      </c>
      <c r="H21" t="s">
        <v>142</v>
      </c>
      <c r="I21" t="s">
        <v>22</v>
      </c>
      <c r="J21" t="s">
        <v>143</v>
      </c>
      <c r="K21">
        <f t="shared" si="0"/>
        <v>2.2048</v>
      </c>
    </row>
    <row r="22" spans="1:11">
      <c r="A22" t="s">
        <v>144</v>
      </c>
      <c r="B22">
        <v>1</v>
      </c>
      <c r="C22" t="s">
        <v>145</v>
      </c>
      <c r="D22" t="s">
        <v>146</v>
      </c>
      <c r="E22" t="s">
        <v>14</v>
      </c>
      <c r="F22" t="s">
        <v>147</v>
      </c>
      <c r="G22" t="s">
        <v>148</v>
      </c>
      <c r="H22" t="s">
        <v>149</v>
      </c>
      <c r="I22" t="s">
        <v>22</v>
      </c>
      <c r="J22" t="s">
        <v>150</v>
      </c>
      <c r="K22">
        <f t="shared" si="0"/>
        <v>4.62</v>
      </c>
    </row>
    <row r="23" spans="1:11">
      <c r="A23" t="s">
        <v>14</v>
      </c>
      <c r="K23" s="1">
        <f>SUM(K3:K22)</f>
        <v>16.2602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会飞的熊猫</cp:lastModifiedBy>
  <dcterms:created xsi:type="dcterms:W3CDTF">2026-04-29T03:29:00Z</dcterms:created>
  <dcterms:modified xsi:type="dcterms:W3CDTF">2026-04-29T05:48:44Z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122A3565D2BB485BA7C4811BAA0EA450_12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